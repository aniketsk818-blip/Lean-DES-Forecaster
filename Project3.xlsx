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IT Notes\5. Final Year MTP\Thesis - Final\"/>
    </mc:Choice>
  </mc:AlternateContent>
  <xr:revisionPtr revIDLastSave="0" documentId="13_ncr:1_{04C1D00E-FE91-4E62-B478-21583519020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Piling" sheetId="1" r:id="rId1"/>
    <sheet name="Excavation" sheetId="2" r:id="rId2"/>
    <sheet name="RCC" sheetId="3" r:id="rId3"/>
    <sheet name="Finishes &amp; ME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D2" i="1"/>
  <c r="C2" i="1"/>
  <c r="B1" i="4"/>
  <c r="B15" i="4"/>
  <c r="B7" i="4"/>
  <c r="C29" i="3"/>
  <c r="B29" i="3"/>
  <c r="C28" i="3"/>
  <c r="B28" i="3"/>
  <c r="C23" i="3"/>
  <c r="B23" i="3"/>
  <c r="C14" i="3"/>
  <c r="B14" i="3"/>
  <c r="C25" i="2"/>
  <c r="D24" i="2"/>
  <c r="D8" i="2"/>
  <c r="C8" i="2"/>
  <c r="D4" i="2"/>
  <c r="C4" i="2"/>
  <c r="D21" i="1"/>
  <c r="C21" i="1"/>
  <c r="D12" i="1"/>
  <c r="D9" i="1"/>
  <c r="D8" i="1"/>
  <c r="D5" i="1"/>
  <c r="D3" i="1"/>
  <c r="C3" i="1"/>
  <c r="C13" i="1"/>
  <c r="B4" i="4" l="1"/>
  <c r="B3" i="4"/>
  <c r="B2" i="4"/>
  <c r="D20" i="1"/>
  <c r="D19" i="1"/>
  <c r="B20" i="4"/>
  <c r="B16" i="4"/>
  <c r="B21" i="4" s="1"/>
  <c r="C15" i="4"/>
  <c r="C16" i="4" s="1"/>
  <c r="C21" i="4" s="1"/>
  <c r="C20" i="4"/>
  <c r="C33" i="3"/>
  <c r="B31" i="3"/>
  <c r="C30" i="3"/>
  <c r="B4" i="3"/>
  <c r="B3" i="3"/>
  <c r="B2" i="3"/>
  <c r="B7" i="3" s="1"/>
  <c r="B18" i="3"/>
  <c r="B33" i="3"/>
  <c r="C32" i="3"/>
  <c r="C31" i="3"/>
  <c r="B30" i="3"/>
  <c r="C26" i="2"/>
  <c r="C9" i="2"/>
  <c r="D25" i="2"/>
  <c r="D26" i="2" s="1"/>
  <c r="D27" i="2" s="1"/>
  <c r="D9" i="2"/>
  <c r="C20" i="1"/>
  <c r="C19" i="1"/>
  <c r="D13" i="1"/>
  <c r="C14" i="1"/>
  <c r="B19" i="4" l="1"/>
  <c r="C17" i="4"/>
  <c r="C19" i="4"/>
  <c r="C18" i="4"/>
  <c r="B18" i="4"/>
  <c r="B17" i="4"/>
  <c r="C15" i="1"/>
  <c r="C17" i="1" s="1"/>
  <c r="D22" i="1"/>
  <c r="C19" i="3"/>
  <c r="B19" i="3"/>
  <c r="B20" i="3" s="1"/>
  <c r="B21" i="3" s="1"/>
  <c r="C18" i="3"/>
  <c r="B32" i="3"/>
  <c r="B34" i="3" s="1"/>
  <c r="B35" i="3" s="1"/>
  <c r="B36" i="3" s="1"/>
  <c r="C34" i="3"/>
  <c r="C35" i="3" s="1"/>
  <c r="C27" i="2"/>
  <c r="C12" i="2"/>
  <c r="D12" i="2"/>
  <c r="C22" i="1"/>
  <c r="D14" i="1"/>
  <c r="D15" i="1" s="1"/>
  <c r="D17" i="1" s="1"/>
  <c r="B22" i="4" l="1"/>
  <c r="B23" i="4" s="1"/>
  <c r="C22" i="4"/>
  <c r="C23" i="4" s="1"/>
  <c r="C20" i="3"/>
  <c r="C21" i="3" s="1"/>
  <c r="C36" i="3" s="1"/>
  <c r="C18" i="1"/>
  <c r="D18" i="1"/>
  <c r="C16" i="2"/>
  <c r="C18" i="2"/>
  <c r="C15" i="2"/>
  <c r="D16" i="2"/>
  <c r="D18" i="2"/>
  <c r="D15" i="2"/>
  <c r="D29" i="2" s="1"/>
  <c r="C28" i="2" l="1"/>
  <c r="C31" i="2"/>
  <c r="C30" i="2"/>
  <c r="C29" i="2"/>
  <c r="D30" i="2"/>
  <c r="D31" i="2"/>
  <c r="D28" i="2"/>
  <c r="D32" i="2" s="1"/>
  <c r="C32" i="2" l="1"/>
  <c r="D33" i="2"/>
  <c r="C33" i="2" l="1"/>
</calcChain>
</file>

<file path=xl/sharedStrings.xml><?xml version="1.0" encoding="utf-8"?>
<sst xmlns="http://schemas.openxmlformats.org/spreadsheetml/2006/main" count="228" uniqueCount="184">
  <si>
    <t>Row</t>
  </si>
  <si>
    <t>Event Component / Parameter</t>
  </si>
  <si>
    <t>Forecast A (BAU Risk)</t>
  </si>
  <si>
    <t>Forecast B (Lean-Optimized)</t>
  </si>
  <si>
    <t>Remarks / Logic</t>
  </si>
  <si>
    <t>2</t>
  </si>
  <si>
    <t>Total Piles</t>
  </si>
  <si>
    <t>3</t>
  </si>
  <si>
    <t>Shift Duration (mins)</t>
  </si>
  <si>
    <t>Standard working shift</t>
  </si>
  <si>
    <t>4</t>
  </si>
  <si>
    <t>Concurrency Index</t>
  </si>
  <si>
    <t>Historical site parallel tracking</t>
  </si>
  <si>
    <t>5</t>
  </si>
  <si>
    <t>Rig Positioning</t>
  </si>
  <si>
    <t>Forecast B = Forecast A * 0.70 (VSM)</t>
  </si>
  <si>
    <t>6</t>
  </si>
  <si>
    <t>Boring (0-8m Soil)</t>
  </si>
  <si>
    <t>Value-Adding (Unchanged)</t>
  </si>
  <si>
    <t>7</t>
  </si>
  <si>
    <t>Boring (8-18m Rock)</t>
  </si>
  <si>
    <t>8</t>
  </si>
  <si>
    <t>Cleaning &amp; Flushing</t>
  </si>
  <si>
    <t>9</t>
  </si>
  <si>
    <t>Cage Lowering</t>
  </si>
  <si>
    <t>10</t>
  </si>
  <si>
    <t>RMC Wait Lag</t>
  </si>
  <si>
    <t>Forecast B strictly targets 36 mins (JIT)</t>
  </si>
  <si>
    <t>11</t>
  </si>
  <si>
    <t>Concreting (9.14m3)</t>
  </si>
  <si>
    <t>12</t>
  </si>
  <si>
    <t>Rig Shifting</t>
  </si>
  <si>
    <t>13</t>
  </si>
  <si>
    <t>Total Cycle Time (mins)</t>
  </si>
  <si>
    <t>Sum of sub-activities</t>
  </si>
  <si>
    <t>14</t>
  </si>
  <si>
    <t>Uncrashed Piles / Day</t>
  </si>
  <si>
    <t>Shift / Cycle * Concurrency (Breaks loop)</t>
  </si>
  <si>
    <t>15</t>
  </si>
  <si>
    <t>Uncrashed Total Days</t>
  </si>
  <si>
    <t>Total Piles / Uncrashed Piles per Day</t>
  </si>
  <si>
    <t>16</t>
  </si>
  <si>
    <t>Parallel Scaling Lever</t>
  </si>
  <si>
    <t>0.85 applies for concurrent twin-rig CPM crashing</t>
  </si>
  <si>
    <t>17</t>
  </si>
  <si>
    <t>Final Total Days</t>
  </si>
  <si>
    <t>Applies Lean timeline crash (Breaks loop)</t>
  </si>
  <si>
    <t>18</t>
  </si>
  <si>
    <t>Effective Piles / Day</t>
  </si>
  <si>
    <t>Total Piles / Final Days (For reporting)</t>
  </si>
  <si>
    <t>19</t>
  </si>
  <si>
    <t>Working Fuel (L)</t>
  </si>
  <si>
    <t>Constant physical work energy</t>
  </si>
  <si>
    <t>20</t>
  </si>
  <si>
    <t>Idle Fuel (L)</t>
  </si>
  <si>
    <t>Uses exact formula: (Piles*(Cage+Wait)/60)*6.5</t>
  </si>
  <si>
    <t>21</t>
  </si>
  <si>
    <t>Fixed Electricity (Tonnes)</t>
  </si>
  <si>
    <t>Standard site overhead</t>
  </si>
  <si>
    <t>22</t>
  </si>
  <si>
    <t>Total Carbon (Tonnes)</t>
  </si>
  <si>
    <t>Converts Liters to Tonnes CO2e + Electricity</t>
  </si>
  <si>
    <t>Volume Derivation Parameter</t>
  </si>
  <si>
    <t>Value</t>
  </si>
  <si>
    <t>Formula Logic</t>
  </si>
  <si>
    <t>Remarks</t>
  </si>
  <si>
    <t>Total Plot Area (m²)</t>
  </si>
  <si>
    <t>Given project configuration</t>
  </si>
  <si>
    <t>Basement Coverage Factor</t>
  </si>
  <si>
    <t>Standard urban plot coverage</t>
  </si>
  <si>
    <t>Effective Footprint (m²)</t>
  </si>
  <si>
    <t>Plot Area * Coverage Factor</t>
  </si>
  <si>
    <t>Number of Basements</t>
  </si>
  <si>
    <t>Height per Basement (m)</t>
  </si>
  <si>
    <t>Standard floor-to-floor height</t>
  </si>
  <si>
    <t>Raft/Pile Cap Allowance (m)</t>
  </si>
  <si>
    <t>Foundation mat clearance</t>
  </si>
  <si>
    <t>Total Depth (m)</t>
  </si>
  <si>
    <t>(Basements * Height) + Allowance</t>
  </si>
  <si>
    <t>Total Excavation Volume (m³)</t>
  </si>
  <si>
    <t>Effective Footprint * Total Depth</t>
  </si>
  <si>
    <t>Excavation Volume (m³)</t>
  </si>
  <si>
    <t>Linked directly to derivation in Row 9</t>
  </si>
  <si>
    <t>Soil Stratum Ratio</t>
  </si>
  <si>
    <t>Historical site strata analysis (35%)</t>
  </si>
  <si>
    <t>Hard Rock Stratum Ratio</t>
  </si>
  <si>
    <t>Historical site strata analysis (65%)</t>
  </si>
  <si>
    <t>Soil Volume (m³)</t>
  </si>
  <si>
    <t>Total Volume * Soil Ratio</t>
  </si>
  <si>
    <t>Rock Volume (m³)</t>
  </si>
  <si>
    <t>Total Volume * Rock Ratio</t>
  </si>
  <si>
    <t>Tipper Capacity (m³/trip)</t>
  </si>
  <si>
    <t>Standard volumetric capacity</t>
  </si>
  <si>
    <t>Total Required Trips</t>
  </si>
  <si>
    <t>Total Volume / Capacity</t>
  </si>
  <si>
    <t>Excavator Fleet Size</t>
  </si>
  <si>
    <t>Standard concurrent mass excavation fleet</t>
  </si>
  <si>
    <t>Inbound Positioning (mins)</t>
  </si>
  <si>
    <t>Forecast B = 1.0 (VSM Haul Route Leveling)</t>
  </si>
  <si>
    <t>Shovel Loading Time (mins)</t>
  </si>
  <si>
    <t>23</t>
  </si>
  <si>
    <t>Outbound Positioning (mins)</t>
  </si>
  <si>
    <t>24</t>
  </si>
  <si>
    <t>Idle Wait Waste (mins)</t>
  </si>
  <si>
    <t>Forecast B cuts 80% via JIT Match-Factor</t>
  </si>
  <si>
    <t>25</t>
  </si>
  <si>
    <t>Total Cycle Time / Trip</t>
  </si>
  <si>
    <t>Sum of trip sub-activities</t>
  </si>
  <si>
    <t>26</t>
  </si>
  <si>
    <t>Trips / Excavator / Day</t>
  </si>
  <si>
    <t>Shift Duration / Total Cycle Time</t>
  </si>
  <si>
    <t>27</t>
  </si>
  <si>
    <t>Effective Fleet Trips / Day</t>
  </si>
  <si>
    <t>Trips per Excavator * Fleet Size</t>
  </si>
  <si>
    <t>28</t>
  </si>
  <si>
    <t>Total Calendar Days</t>
  </si>
  <si>
    <t>Total Required Trips / Effective Fleet Trips</t>
  </si>
  <si>
    <t>29</t>
  </si>
  <si>
    <t>Excavator Digging Fuel (L)</t>
  </si>
  <si>
    <t>Soil(0.15 L/m3) + Rock(0.40 L/m3)</t>
  </si>
  <si>
    <t>30</t>
  </si>
  <si>
    <t>Tipper Hauling Fuel (L)</t>
  </si>
  <si>
    <t>Total Trips * 15 km round trip @ 3kmpl</t>
  </si>
  <si>
    <t>31</t>
  </si>
  <si>
    <t>Excavator Idle Fuel (L)</t>
  </si>
  <si>
    <t>(Trips * Idle Mins / 60) * 4.5 L/hr stall burn</t>
  </si>
  <si>
    <t>32</t>
  </si>
  <si>
    <t>Site Overhead Electricity (Tonnes)</t>
  </si>
  <si>
    <t>Total Days * 135 kWh/day * 0.82 grid factor</t>
  </si>
  <si>
    <t>33</t>
  </si>
  <si>
    <t>Converts ALL Liters to Tonnes CO2e + Electricity</t>
  </si>
  <si>
    <t>Total BUA (m²)</t>
  </si>
  <si>
    <t>Concrete Volume (m³)</t>
  </si>
  <si>
    <t>Reinforcement Steel (MT)</t>
  </si>
  <si>
    <t>Shuttering Area (m²)</t>
  </si>
  <si>
    <t>Number of Towers</t>
  </si>
  <si>
    <t>Levels per Tower</t>
  </si>
  <si>
    <t>Total RMC Trips (6m³)</t>
  </si>
  <si>
    <t>Event Component</t>
  </si>
  <si>
    <t>Entry &amp; Gate Process (min)</t>
  </si>
  <si>
    <t>Queue &amp; Parking (min)</t>
  </si>
  <si>
    <t>Discharge (6m³) (min)</t>
  </si>
  <si>
    <t>Clean &amp; Exit (min)</t>
  </si>
  <si>
    <t>Total Cycle / Trip</t>
  </si>
  <si>
    <t>Site window diesel consumption/hr</t>
  </si>
  <si>
    <t>Diesel conumption/hr for transport distance</t>
  </si>
  <si>
    <t>Average transport distance for RMC plant</t>
  </si>
  <si>
    <t>Total diesel consumption Site Window for total trips</t>
  </si>
  <si>
    <t>Total diesel consumption during transport</t>
  </si>
  <si>
    <t>Total Diesel consumption</t>
  </si>
  <si>
    <t>Carbon emissions (t) @@ 2.68 kg/L</t>
  </si>
  <si>
    <t>Total Duration</t>
  </si>
  <si>
    <t>Total Site working hours</t>
  </si>
  <si>
    <t>Energy consumtion/hr</t>
  </si>
  <si>
    <t>Utilisation factor for Tower crane</t>
  </si>
  <si>
    <t>Utilisation factor for Passenger hoist</t>
  </si>
  <si>
    <t>Concrete Pump efficiency</t>
  </si>
  <si>
    <t>Steel yard efficiency</t>
  </si>
  <si>
    <t>Tower Cranes (3 Nos)</t>
  </si>
  <si>
    <t>Passenger Hoists (9 Nos)</t>
  </si>
  <si>
    <t>Steel Yard (On-site)</t>
  </si>
  <si>
    <t>Concrete Pumps (3 Nos)</t>
  </si>
  <si>
    <t>Total Electricity</t>
  </si>
  <si>
    <t>Carbon emissions (t) @0.82 kg/kWh</t>
  </si>
  <si>
    <t>TOTAL RCC FOOTPRINT</t>
  </si>
  <si>
    <t>Base Plaster Area (m²)</t>
  </si>
  <si>
    <t>Floor Screed Area (m²)</t>
  </si>
  <si>
    <t>Floor Tiling Area (m²)</t>
  </si>
  <si>
    <t>Total MEP Shafts (Rmts)</t>
  </si>
  <si>
    <t>Plaster Waste Coefficient (%)</t>
  </si>
  <si>
    <t>Screed Waste Coefficient (%)</t>
  </si>
  <si>
    <t>Tiling Waste Coefficient (%)</t>
  </si>
  <si>
    <t>MEP Rework/Clash Rate (%)</t>
  </si>
  <si>
    <t>Finishing Duration Post-RCC (Days)</t>
  </si>
  <si>
    <t>Material Hoist Draw (kWh/Day)</t>
  </si>
  <si>
    <t>Total Hoist Electricity (kWh)</t>
  </si>
  <si>
    <t>Plaster Waste Carbon (Tonnes)</t>
  </si>
  <si>
    <t>Screed Waste Carbon (Tonnes)</t>
  </si>
  <si>
    <t>Tiling Waste Carbon (Tonnes)</t>
  </si>
  <si>
    <t>MEP Rework Carbon (Tonnes)</t>
  </si>
  <si>
    <t>Total Electricity Carbon (Tonnes)</t>
  </si>
  <si>
    <t>Total Material Carbon (Tonnes)</t>
  </si>
  <si>
    <t>Total Finishing Carbon (Tonnes)</t>
  </si>
  <si>
    <t>Derived from 487 RMT / 0.9m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</si>
</sst>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2" fontId="2" fillId="3" borderId="0" xfId="0" applyNumberFormat="1" applyFont="1" applyFill="1"/>
    <xf numFmtId="2" fontId="0" fillId="0" borderId="0" xfId="0" applyNumberFormat="1"/>
    <xf numFmtId="1" fontId="2" fillId="3" borderId="0" xfId="0" applyNumberFormat="1" applyFont="1" applyFill="1"/>
    <xf numFmtId="1" fontId="0" fillId="0" borderId="0" xfId="0" applyNumberFormat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/>
    <xf numFmtId="1" fontId="6" fillId="3" borderId="0" xfId="0" applyNumberFormat="1" applyFont="1" applyFill="1"/>
    <xf numFmtId="0" fontId="5" fillId="2" borderId="0" xfId="0" applyFont="1" applyFill="1" applyAlignment="1">
      <alignment horizontal="center" vertical="center"/>
    </xf>
    <xf numFmtId="164" fontId="6" fillId="3" borderId="0" xfId="1" applyNumberFormat="1" applyFont="1" applyFill="1"/>
    <xf numFmtId="43" fontId="0" fillId="0" borderId="0" xfId="1" applyFont="1"/>
    <xf numFmtId="164" fontId="0" fillId="0" borderId="0" xfId="1" applyNumberFormat="1" applyFont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164" fontId="7" fillId="0" borderId="1" xfId="1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4" fillId="0" borderId="1" xfId="0" applyFont="1" applyBorder="1"/>
    <xf numFmtId="0" fontId="0" fillId="0" borderId="0" xfId="0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164" fontId="0" fillId="0" borderId="0" xfId="0" applyNumberFormat="1"/>
    <xf numFmtId="43" fontId="0" fillId="0" borderId="0" xfId="0" applyNumberFormat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C4" sqref="C4"/>
    </sheetView>
  </sheetViews>
  <sheetFormatPr defaultRowHeight="14.5" x14ac:dyDescent="0.35"/>
  <cols>
    <col min="1" max="1" width="8.7265625" style="7"/>
    <col min="2" max="2" width="30" customWidth="1"/>
    <col min="3" max="4" width="20" customWidth="1"/>
    <col min="5" max="5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7" t="s">
        <v>5</v>
      </c>
      <c r="B2" t="s">
        <v>6</v>
      </c>
      <c r="C2" s="6">
        <f>372/0.9</f>
        <v>413.33333333333331</v>
      </c>
      <c r="D2" s="6">
        <f>372/0.9</f>
        <v>413.33333333333331</v>
      </c>
      <c r="E2" t="s">
        <v>183</v>
      </c>
    </row>
    <row r="3" spans="1:5" x14ac:dyDescent="0.35">
      <c r="A3" s="7" t="s">
        <v>7</v>
      </c>
      <c r="B3" t="s">
        <v>8</v>
      </c>
      <c r="C3">
        <f>9*60</f>
        <v>540</v>
      </c>
      <c r="D3">
        <f>9*60</f>
        <v>540</v>
      </c>
      <c r="E3" t="s">
        <v>9</v>
      </c>
    </row>
    <row r="4" spans="1:5" x14ac:dyDescent="0.35">
      <c r="A4" s="7" t="s">
        <v>10</v>
      </c>
      <c r="B4" t="s">
        <v>11</v>
      </c>
      <c r="C4">
        <v>1.66</v>
      </c>
      <c r="D4">
        <v>1.66</v>
      </c>
      <c r="E4" t="s">
        <v>12</v>
      </c>
    </row>
    <row r="5" spans="1:5" x14ac:dyDescent="0.35">
      <c r="A5" s="7" t="s">
        <v>13</v>
      </c>
      <c r="B5" t="s">
        <v>14</v>
      </c>
      <c r="C5">
        <v>35</v>
      </c>
      <c r="D5">
        <f>C5*0.7</f>
        <v>24.5</v>
      </c>
      <c r="E5" t="s">
        <v>15</v>
      </c>
    </row>
    <row r="6" spans="1:5" x14ac:dyDescent="0.35">
      <c r="A6" s="7" t="s">
        <v>16</v>
      </c>
      <c r="B6" t="s">
        <v>17</v>
      </c>
      <c r="C6">
        <v>55</v>
      </c>
      <c r="D6">
        <v>55</v>
      </c>
      <c r="E6" t="s">
        <v>18</v>
      </c>
    </row>
    <row r="7" spans="1:5" x14ac:dyDescent="0.35">
      <c r="A7" s="7" t="s">
        <v>19</v>
      </c>
      <c r="B7" t="s">
        <v>20</v>
      </c>
      <c r="C7">
        <v>125</v>
      </c>
      <c r="D7">
        <v>125</v>
      </c>
      <c r="E7" t="s">
        <v>18</v>
      </c>
    </row>
    <row r="8" spans="1:5" x14ac:dyDescent="0.35">
      <c r="A8" s="7" t="s">
        <v>21</v>
      </c>
      <c r="B8" t="s">
        <v>22</v>
      </c>
      <c r="C8">
        <v>40</v>
      </c>
      <c r="D8">
        <f>C8*0.7</f>
        <v>28</v>
      </c>
      <c r="E8" t="s">
        <v>15</v>
      </c>
    </row>
    <row r="9" spans="1:5" x14ac:dyDescent="0.35">
      <c r="A9" s="7" t="s">
        <v>23</v>
      </c>
      <c r="B9" t="s">
        <v>24</v>
      </c>
      <c r="C9">
        <v>45</v>
      </c>
      <c r="D9">
        <f>C9*0.7</f>
        <v>31.499999999999996</v>
      </c>
      <c r="E9" t="s">
        <v>15</v>
      </c>
    </row>
    <row r="10" spans="1:5" x14ac:dyDescent="0.35">
      <c r="A10" s="7" t="s">
        <v>25</v>
      </c>
      <c r="B10" t="s">
        <v>26</v>
      </c>
      <c r="C10">
        <v>90</v>
      </c>
      <c r="D10">
        <v>36</v>
      </c>
      <c r="E10" t="s">
        <v>27</v>
      </c>
    </row>
    <row r="11" spans="1:5" x14ac:dyDescent="0.35">
      <c r="A11" s="7" t="s">
        <v>28</v>
      </c>
      <c r="B11" t="s">
        <v>29</v>
      </c>
      <c r="C11">
        <v>65</v>
      </c>
      <c r="D11">
        <v>65</v>
      </c>
      <c r="E11" t="s">
        <v>18</v>
      </c>
    </row>
    <row r="12" spans="1:5" x14ac:dyDescent="0.35">
      <c r="A12" s="7" t="s">
        <v>30</v>
      </c>
      <c r="B12" t="s">
        <v>31</v>
      </c>
      <c r="C12">
        <v>40</v>
      </c>
      <c r="D12">
        <f>C12*0.7</f>
        <v>28</v>
      </c>
      <c r="E12" t="s">
        <v>15</v>
      </c>
    </row>
    <row r="13" spans="1:5" x14ac:dyDescent="0.35">
      <c r="A13" s="7" t="s">
        <v>32</v>
      </c>
      <c r="B13" s="2" t="s">
        <v>33</v>
      </c>
      <c r="C13" s="5">
        <f>SUM(C5:C12)</f>
        <v>495</v>
      </c>
      <c r="D13" s="5">
        <f>SUM(D5:D12)</f>
        <v>393</v>
      </c>
      <c r="E13" t="s">
        <v>34</v>
      </c>
    </row>
    <row r="14" spans="1:5" x14ac:dyDescent="0.35">
      <c r="A14" s="7" t="s">
        <v>35</v>
      </c>
      <c r="B14" s="2" t="s">
        <v>36</v>
      </c>
      <c r="C14" s="3">
        <f>(C3/C13)*C4</f>
        <v>1.8109090909090906</v>
      </c>
      <c r="D14" s="3">
        <f>(D3/D13)*D4</f>
        <v>2.280916030534351</v>
      </c>
      <c r="E14" t="s">
        <v>37</v>
      </c>
    </row>
    <row r="15" spans="1:5" x14ac:dyDescent="0.35">
      <c r="A15" s="7" t="s">
        <v>38</v>
      </c>
      <c r="B15" s="2" t="s">
        <v>39</v>
      </c>
      <c r="C15" s="5">
        <f>C2/C14</f>
        <v>228.24631860776441</v>
      </c>
      <c r="D15" s="5">
        <f>D2/D14</f>
        <v>181.21374386434627</v>
      </c>
      <c r="E15" t="s">
        <v>40</v>
      </c>
    </row>
    <row r="16" spans="1:5" x14ac:dyDescent="0.35">
      <c r="A16" s="7" t="s">
        <v>41</v>
      </c>
      <c r="B16" t="s">
        <v>42</v>
      </c>
      <c r="C16" s="4">
        <v>1</v>
      </c>
      <c r="D16" s="4">
        <v>0.85</v>
      </c>
      <c r="E16" t="s">
        <v>43</v>
      </c>
    </row>
    <row r="17" spans="1:5" x14ac:dyDescent="0.35">
      <c r="A17" s="7" t="s">
        <v>44</v>
      </c>
      <c r="B17" s="2" t="s">
        <v>45</v>
      </c>
      <c r="C17" s="5">
        <f>C15*C16</f>
        <v>228.24631860776441</v>
      </c>
      <c r="D17" s="5">
        <f>D15*D16</f>
        <v>154.03168228469431</v>
      </c>
      <c r="E17" t="s">
        <v>46</v>
      </c>
    </row>
    <row r="18" spans="1:5" x14ac:dyDescent="0.35">
      <c r="A18" s="7" t="s">
        <v>47</v>
      </c>
      <c r="B18" s="2" t="s">
        <v>48</v>
      </c>
      <c r="C18" s="3">
        <f>C2/C17</f>
        <v>1.8109090909090906</v>
      </c>
      <c r="D18" s="3">
        <f>D2/D17</f>
        <v>2.6834306241580603</v>
      </c>
      <c r="E18" t="s">
        <v>49</v>
      </c>
    </row>
    <row r="19" spans="1:5" x14ac:dyDescent="0.35">
      <c r="A19" s="7" t="s">
        <v>50</v>
      </c>
      <c r="B19" t="s">
        <v>51</v>
      </c>
      <c r="C19" s="6">
        <f>(C2*(SUM(C5:C8)/60)*22)</f>
        <v>38646.666666666664</v>
      </c>
      <c r="D19" s="6">
        <f>(D2*(SUM(D5:D8)/60)*22)</f>
        <v>35236.666666666664</v>
      </c>
      <c r="E19" t="s">
        <v>52</v>
      </c>
    </row>
    <row r="20" spans="1:5" x14ac:dyDescent="0.35">
      <c r="A20" s="7" t="s">
        <v>53</v>
      </c>
      <c r="B20" s="2" t="s">
        <v>54</v>
      </c>
      <c r="C20" s="5">
        <f>(C2*(C9+C10)/60)*6.5</f>
        <v>6045</v>
      </c>
      <c r="D20" s="5">
        <f>(D2*(D9+D10)/60)*6.5</f>
        <v>3022.5</v>
      </c>
      <c r="E20" t="s">
        <v>55</v>
      </c>
    </row>
    <row r="21" spans="1:5" x14ac:dyDescent="0.35">
      <c r="A21" s="7" t="s">
        <v>56</v>
      </c>
      <c r="B21" t="s">
        <v>57</v>
      </c>
      <c r="C21" s="4">
        <f>((30*0.4)*45)/1000</f>
        <v>0.54</v>
      </c>
      <c r="D21" s="4">
        <f>((30*0.4)*45)/1000</f>
        <v>0.54</v>
      </c>
      <c r="E21" t="s">
        <v>58</v>
      </c>
    </row>
    <row r="22" spans="1:5" x14ac:dyDescent="0.35">
      <c r="A22" s="7" t="s">
        <v>59</v>
      </c>
      <c r="B22" s="2" t="s">
        <v>60</v>
      </c>
      <c r="C22" s="5">
        <f>(C19+C20)*2.68/1000+C21</f>
        <v>120.31366666666668</v>
      </c>
      <c r="D22" s="5">
        <f>(D19+D20)*2.68/1000+D21</f>
        <v>103.07456666666667</v>
      </c>
      <c r="E22" t="s">
        <v>61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F5E6-29F9-413C-BE5B-43FE9A942A59}">
  <dimension ref="A1:E35"/>
  <sheetViews>
    <sheetView workbookViewId="0">
      <selection activeCell="C3" sqref="C3"/>
    </sheetView>
  </sheetViews>
  <sheetFormatPr defaultRowHeight="14.5" x14ac:dyDescent="0.35"/>
  <cols>
    <col min="1" max="1" width="8.7265625" style="7"/>
    <col min="2" max="2" width="35" customWidth="1"/>
    <col min="3" max="4" width="25" customWidth="1"/>
    <col min="5" max="5" width="40.453125" bestFit="1" customWidth="1"/>
    <col min="6" max="6" width="50" customWidth="1"/>
  </cols>
  <sheetData>
    <row r="1" spans="1:5" x14ac:dyDescent="0.35">
      <c r="A1" s="8" t="s">
        <v>0</v>
      </c>
      <c r="B1" s="8" t="s">
        <v>62</v>
      </c>
      <c r="C1" s="8" t="s">
        <v>63</v>
      </c>
      <c r="D1" s="8" t="s">
        <v>64</v>
      </c>
      <c r="E1" s="8" t="s">
        <v>65</v>
      </c>
    </row>
    <row r="2" spans="1:5" x14ac:dyDescent="0.35">
      <c r="A2" s="7" t="s">
        <v>5</v>
      </c>
      <c r="B2" t="s">
        <v>66</v>
      </c>
      <c r="C2">
        <v>8415</v>
      </c>
      <c r="E2" t="s">
        <v>67</v>
      </c>
    </row>
    <row r="3" spans="1:5" x14ac:dyDescent="0.35">
      <c r="A3" s="7" t="s">
        <v>7</v>
      </c>
      <c r="B3" t="s">
        <v>68</v>
      </c>
      <c r="C3">
        <v>0.85</v>
      </c>
      <c r="E3" t="s">
        <v>69</v>
      </c>
    </row>
    <row r="4" spans="1:5" x14ac:dyDescent="0.35">
      <c r="A4" s="7" t="s">
        <v>10</v>
      </c>
      <c r="B4" s="9" t="s">
        <v>70</v>
      </c>
      <c r="C4" s="9">
        <f>C2*C3</f>
        <v>7152.75</v>
      </c>
      <c r="D4" s="9">
        <f>C2*C3</f>
        <v>7152.75</v>
      </c>
      <c r="E4" t="s">
        <v>71</v>
      </c>
    </row>
    <row r="5" spans="1:5" x14ac:dyDescent="0.35">
      <c r="A5" s="7" t="s">
        <v>13</v>
      </c>
      <c r="B5" t="s">
        <v>72</v>
      </c>
      <c r="C5">
        <v>3</v>
      </c>
      <c r="E5" t="s">
        <v>67</v>
      </c>
    </row>
    <row r="6" spans="1:5" x14ac:dyDescent="0.35">
      <c r="A6" s="7" t="s">
        <v>16</v>
      </c>
      <c r="B6" t="s">
        <v>73</v>
      </c>
      <c r="C6">
        <v>3.5</v>
      </c>
      <c r="E6" t="s">
        <v>74</v>
      </c>
    </row>
    <row r="7" spans="1:5" x14ac:dyDescent="0.35">
      <c r="A7" s="7" t="s">
        <v>19</v>
      </c>
      <c r="B7" t="s">
        <v>75</v>
      </c>
      <c r="C7">
        <v>2.5</v>
      </c>
      <c r="E7" t="s">
        <v>76</v>
      </c>
    </row>
    <row r="8" spans="1:5" x14ac:dyDescent="0.35">
      <c r="A8" s="7" t="s">
        <v>21</v>
      </c>
      <c r="B8" s="9" t="s">
        <v>77</v>
      </c>
      <c r="C8" s="9">
        <f>(C5*C6)+C7</f>
        <v>13</v>
      </c>
      <c r="D8" s="9">
        <f>(C5*C6)+C7</f>
        <v>13</v>
      </c>
      <c r="E8" t="s">
        <v>78</v>
      </c>
    </row>
    <row r="9" spans="1:5" x14ac:dyDescent="0.35">
      <c r="A9" s="7" t="s">
        <v>23</v>
      </c>
      <c r="B9" s="9" t="s">
        <v>79</v>
      </c>
      <c r="C9" s="10">
        <f>C4*C8</f>
        <v>92985.75</v>
      </c>
      <c r="D9" s="10">
        <f>C4*C8</f>
        <v>92985.75</v>
      </c>
      <c r="E9" t="s">
        <v>80</v>
      </c>
    </row>
    <row r="11" spans="1:5" x14ac:dyDescent="0.35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</row>
    <row r="12" spans="1:5" x14ac:dyDescent="0.35">
      <c r="A12" s="7" t="s">
        <v>30</v>
      </c>
      <c r="B12" s="9" t="s">
        <v>81</v>
      </c>
      <c r="C12" s="12">
        <f>C9</f>
        <v>92985.75</v>
      </c>
      <c r="D12" s="12">
        <f>C9</f>
        <v>92985.75</v>
      </c>
      <c r="E12" t="s">
        <v>82</v>
      </c>
    </row>
    <row r="13" spans="1:5" x14ac:dyDescent="0.35">
      <c r="A13" s="7" t="s">
        <v>32</v>
      </c>
      <c r="B13" t="s">
        <v>83</v>
      </c>
      <c r="C13" s="13">
        <v>0.35</v>
      </c>
      <c r="D13" s="13">
        <v>0.35</v>
      </c>
      <c r="E13" t="s">
        <v>84</v>
      </c>
    </row>
    <row r="14" spans="1:5" x14ac:dyDescent="0.35">
      <c r="A14" s="7" t="s">
        <v>35</v>
      </c>
      <c r="B14" t="s">
        <v>85</v>
      </c>
      <c r="C14" s="14">
        <v>0.65</v>
      </c>
      <c r="D14" s="14">
        <v>0.65</v>
      </c>
      <c r="E14" t="s">
        <v>86</v>
      </c>
    </row>
    <row r="15" spans="1:5" x14ac:dyDescent="0.35">
      <c r="A15" s="7" t="s">
        <v>38</v>
      </c>
      <c r="B15" s="9" t="s">
        <v>87</v>
      </c>
      <c r="C15" s="12">
        <f>C12*C13</f>
        <v>32545.012499999997</v>
      </c>
      <c r="D15" s="12">
        <f>D12*D13</f>
        <v>32545.012499999997</v>
      </c>
      <c r="E15" t="s">
        <v>88</v>
      </c>
    </row>
    <row r="16" spans="1:5" x14ac:dyDescent="0.35">
      <c r="A16" s="7" t="s">
        <v>41</v>
      </c>
      <c r="B16" s="9" t="s">
        <v>89</v>
      </c>
      <c r="C16" s="12">
        <f>C12*C14</f>
        <v>60440.737500000003</v>
      </c>
      <c r="D16" s="12">
        <f>D12*D14</f>
        <v>60440.737500000003</v>
      </c>
      <c r="E16" t="s">
        <v>90</v>
      </c>
    </row>
    <row r="17" spans="1:5" x14ac:dyDescent="0.35">
      <c r="A17" s="7" t="s">
        <v>44</v>
      </c>
      <c r="B17" t="s">
        <v>91</v>
      </c>
      <c r="C17" s="14">
        <v>10</v>
      </c>
      <c r="D17" s="14">
        <v>10</v>
      </c>
      <c r="E17" t="s">
        <v>92</v>
      </c>
    </row>
    <row r="18" spans="1:5" x14ac:dyDescent="0.35">
      <c r="A18" s="7" t="s">
        <v>47</v>
      </c>
      <c r="B18" s="9" t="s">
        <v>93</v>
      </c>
      <c r="C18" s="12">
        <f>C12/C17</f>
        <v>9298.5750000000007</v>
      </c>
      <c r="D18" s="12">
        <f>D12/D17</f>
        <v>9298.5750000000007</v>
      </c>
      <c r="E18" t="s">
        <v>94</v>
      </c>
    </row>
    <row r="19" spans="1:5" x14ac:dyDescent="0.35">
      <c r="A19" s="7" t="s">
        <v>50</v>
      </c>
      <c r="B19" t="s">
        <v>8</v>
      </c>
      <c r="C19" s="14">
        <v>540</v>
      </c>
      <c r="D19" s="14">
        <v>540</v>
      </c>
      <c r="E19" t="s">
        <v>9</v>
      </c>
    </row>
    <row r="20" spans="1:5" x14ac:dyDescent="0.35">
      <c r="A20" s="7" t="s">
        <v>53</v>
      </c>
      <c r="B20" t="s">
        <v>95</v>
      </c>
      <c r="C20" s="14">
        <v>2</v>
      </c>
      <c r="D20" s="14">
        <v>2</v>
      </c>
      <c r="E20" t="s">
        <v>96</v>
      </c>
    </row>
    <row r="21" spans="1:5" x14ac:dyDescent="0.35">
      <c r="A21" s="7" t="s">
        <v>56</v>
      </c>
      <c r="B21" t="s">
        <v>97</v>
      </c>
      <c r="C21" s="14">
        <v>8</v>
      </c>
      <c r="D21" s="14">
        <v>1</v>
      </c>
      <c r="E21" t="s">
        <v>98</v>
      </c>
    </row>
    <row r="22" spans="1:5" x14ac:dyDescent="0.35">
      <c r="A22" s="7" t="s">
        <v>59</v>
      </c>
      <c r="B22" t="s">
        <v>99</v>
      </c>
      <c r="C22" s="14">
        <v>6</v>
      </c>
      <c r="D22" s="14">
        <v>6</v>
      </c>
      <c r="E22" t="s">
        <v>18</v>
      </c>
    </row>
    <row r="23" spans="1:5" x14ac:dyDescent="0.35">
      <c r="A23" s="7" t="s">
        <v>100</v>
      </c>
      <c r="B23" t="s">
        <v>101</v>
      </c>
      <c r="C23" s="14">
        <v>10</v>
      </c>
      <c r="D23" s="14">
        <v>1</v>
      </c>
      <c r="E23" t="s">
        <v>98</v>
      </c>
    </row>
    <row r="24" spans="1:5" x14ac:dyDescent="0.35">
      <c r="A24" s="7" t="s">
        <v>102</v>
      </c>
      <c r="B24" t="s">
        <v>103</v>
      </c>
      <c r="C24" s="14">
        <v>13.24</v>
      </c>
      <c r="D24" s="14">
        <f>C24*0.2</f>
        <v>2.6480000000000001</v>
      </c>
      <c r="E24" t="s">
        <v>104</v>
      </c>
    </row>
    <row r="25" spans="1:5" x14ac:dyDescent="0.35">
      <c r="A25" s="7" t="s">
        <v>105</v>
      </c>
      <c r="B25" s="9" t="s">
        <v>106</v>
      </c>
      <c r="C25" s="12">
        <f>SUM(C21:C24)</f>
        <v>37.24</v>
      </c>
      <c r="D25" s="12">
        <f>SUM(D21:D24)</f>
        <v>10.648</v>
      </c>
      <c r="E25" t="s">
        <v>107</v>
      </c>
    </row>
    <row r="26" spans="1:5" x14ac:dyDescent="0.35">
      <c r="A26" s="7" t="s">
        <v>108</v>
      </c>
      <c r="B26" s="9" t="s">
        <v>109</v>
      </c>
      <c r="C26" s="12">
        <f>C19/C25</f>
        <v>14.500537056928033</v>
      </c>
      <c r="D26" s="12">
        <f>D19/D25</f>
        <v>50.7137490608565</v>
      </c>
      <c r="E26" t="s">
        <v>110</v>
      </c>
    </row>
    <row r="27" spans="1:5" x14ac:dyDescent="0.35">
      <c r="A27" s="7" t="s">
        <v>111</v>
      </c>
      <c r="B27" s="9" t="s">
        <v>112</v>
      </c>
      <c r="C27" s="12">
        <f>C26*C20</f>
        <v>29.001074113856067</v>
      </c>
      <c r="D27" s="12">
        <f>D26*D20</f>
        <v>101.427498121713</v>
      </c>
      <c r="E27" t="s">
        <v>113</v>
      </c>
    </row>
    <row r="28" spans="1:5" x14ac:dyDescent="0.35">
      <c r="A28" s="7" t="s">
        <v>114</v>
      </c>
      <c r="B28" s="9" t="s">
        <v>115</v>
      </c>
      <c r="C28" s="12">
        <f>C18/C27</f>
        <v>320.62864166666674</v>
      </c>
      <c r="D28" s="12">
        <f>D18/D27</f>
        <v>91.677061666666674</v>
      </c>
      <c r="E28" t="s">
        <v>116</v>
      </c>
    </row>
    <row r="29" spans="1:5" x14ac:dyDescent="0.35">
      <c r="A29" s="7" t="s">
        <v>117</v>
      </c>
      <c r="B29" s="9" t="s">
        <v>118</v>
      </c>
      <c r="C29" s="12">
        <f>(C15*0.15)+(C16*0.4)</f>
        <v>29058.046875</v>
      </c>
      <c r="D29" s="12">
        <f>(D15*0.15)+(D16*0.4)</f>
        <v>29058.046875</v>
      </c>
      <c r="E29" t="s">
        <v>119</v>
      </c>
    </row>
    <row r="30" spans="1:5" x14ac:dyDescent="0.35">
      <c r="A30" s="7" t="s">
        <v>120</v>
      </c>
      <c r="B30" s="9" t="s">
        <v>121</v>
      </c>
      <c r="C30" s="12">
        <f>C18*15/3</f>
        <v>46492.875</v>
      </c>
      <c r="D30" s="12">
        <f>D18*15/3</f>
        <v>46492.875</v>
      </c>
      <c r="E30" t="s">
        <v>122</v>
      </c>
    </row>
    <row r="31" spans="1:5" x14ac:dyDescent="0.35">
      <c r="A31" s="7" t="s">
        <v>123</v>
      </c>
      <c r="B31" s="9" t="s">
        <v>124</v>
      </c>
      <c r="C31" s="12">
        <f>(C18*C24/60)*4.5</f>
        <v>9233.4849750000012</v>
      </c>
      <c r="D31" s="12">
        <f>(D18*D24/60)*4.5</f>
        <v>1846.6969950000002</v>
      </c>
      <c r="E31" t="s">
        <v>125</v>
      </c>
    </row>
    <row r="32" spans="1:5" x14ac:dyDescent="0.35">
      <c r="A32" s="7" t="s">
        <v>126</v>
      </c>
      <c r="B32" s="9" t="s">
        <v>127</v>
      </c>
      <c r="C32" s="12">
        <f>C28*15*0.82/1000</f>
        <v>3.9437322925000005</v>
      </c>
      <c r="D32" s="12">
        <f>D28*15*0.82/1000</f>
        <v>1.1276278584999999</v>
      </c>
      <c r="E32" t="s">
        <v>128</v>
      </c>
    </row>
    <row r="33" spans="1:5" x14ac:dyDescent="0.35">
      <c r="A33" s="7" t="s">
        <v>129</v>
      </c>
      <c r="B33" s="9" t="s">
        <v>60</v>
      </c>
      <c r="C33" s="12">
        <f>(C29+C30+C31)*2.68/1000+C32</f>
        <v>231.1659426505</v>
      </c>
      <c r="D33" s="12">
        <f>(D29+D30+D31)*2.68/1000+D32</f>
        <v>208.55324643010005</v>
      </c>
      <c r="E33" t="s">
        <v>130</v>
      </c>
    </row>
    <row r="35" spans="1:5" x14ac:dyDescent="0.35">
      <c r="D35" s="45"/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9BEB-932D-4D61-A6ED-F6F0CDFF8A19}">
  <dimension ref="A1:D36"/>
  <sheetViews>
    <sheetView topLeftCell="A20" workbookViewId="0">
      <selection activeCell="B2" sqref="B2:C2"/>
    </sheetView>
  </sheetViews>
  <sheetFormatPr defaultRowHeight="14.5" x14ac:dyDescent="0.35"/>
  <cols>
    <col min="1" max="1" width="35" style="17" customWidth="1"/>
    <col min="2" max="2" width="25" style="37" customWidth="1"/>
    <col min="3" max="3" width="25" style="17" customWidth="1"/>
    <col min="4" max="4" width="11.1796875" style="17" bestFit="1" customWidth="1"/>
    <col min="5" max="16384" width="8.7265625" style="17"/>
  </cols>
  <sheetData>
    <row r="1" spans="1:4" x14ac:dyDescent="0.35">
      <c r="A1" s="15" t="s">
        <v>131</v>
      </c>
      <c r="B1" s="47">
        <f>22.02*10^5</f>
        <v>2202000</v>
      </c>
      <c r="C1" s="48"/>
      <c r="D1" s="46"/>
    </row>
    <row r="2" spans="1:4" x14ac:dyDescent="0.35">
      <c r="A2" s="15" t="s">
        <v>132</v>
      </c>
      <c r="B2" s="47">
        <f>B1*0.07</f>
        <v>154140.00000000003</v>
      </c>
      <c r="C2" s="48"/>
    </row>
    <row r="3" spans="1:4" x14ac:dyDescent="0.35">
      <c r="A3" s="15" t="s">
        <v>133</v>
      </c>
      <c r="B3" s="47">
        <f>(B1*9.4)/1000</f>
        <v>20698.8</v>
      </c>
      <c r="C3" s="48"/>
    </row>
    <row r="4" spans="1:4" x14ac:dyDescent="0.35">
      <c r="A4" s="15" t="s">
        <v>134</v>
      </c>
      <c r="B4" s="47">
        <f>(B1*3.73)/10.764</f>
        <v>763049.05239687848</v>
      </c>
      <c r="C4" s="48"/>
    </row>
    <row r="5" spans="1:4" x14ac:dyDescent="0.35">
      <c r="A5" s="15" t="s">
        <v>135</v>
      </c>
      <c r="B5" s="47">
        <v>3</v>
      </c>
      <c r="C5" s="48"/>
    </row>
    <row r="6" spans="1:4" x14ac:dyDescent="0.35">
      <c r="A6" s="15" t="s">
        <v>136</v>
      </c>
      <c r="B6" s="47">
        <v>72</v>
      </c>
      <c r="C6" s="48"/>
    </row>
    <row r="7" spans="1:4" x14ac:dyDescent="0.35">
      <c r="A7" s="15" t="s">
        <v>137</v>
      </c>
      <c r="B7" s="47">
        <f>B2/6</f>
        <v>25690.000000000004</v>
      </c>
      <c r="C7" s="48"/>
    </row>
    <row r="9" spans="1:4" x14ac:dyDescent="0.35">
      <c r="A9" s="18" t="s">
        <v>138</v>
      </c>
      <c r="B9" s="19" t="s">
        <v>2</v>
      </c>
      <c r="C9" s="18" t="s">
        <v>3</v>
      </c>
    </row>
    <row r="10" spans="1:4" x14ac:dyDescent="0.35">
      <c r="A10" s="15" t="s">
        <v>139</v>
      </c>
      <c r="B10" s="20">
        <v>10</v>
      </c>
      <c r="C10" s="16">
        <v>2.5</v>
      </c>
    </row>
    <row r="11" spans="1:4" x14ac:dyDescent="0.35">
      <c r="A11" s="15" t="s">
        <v>140</v>
      </c>
      <c r="B11" s="20">
        <v>10</v>
      </c>
      <c r="C11" s="16">
        <v>2.5</v>
      </c>
    </row>
    <row r="12" spans="1:4" x14ac:dyDescent="0.35">
      <c r="A12" s="15" t="s">
        <v>141</v>
      </c>
      <c r="B12" s="20">
        <v>25</v>
      </c>
      <c r="C12" s="16">
        <v>25</v>
      </c>
    </row>
    <row r="13" spans="1:4" x14ac:dyDescent="0.35">
      <c r="A13" s="15" t="s">
        <v>142</v>
      </c>
      <c r="B13" s="20">
        <v>10</v>
      </c>
      <c r="C13" s="16">
        <v>10</v>
      </c>
    </row>
    <row r="14" spans="1:4" x14ac:dyDescent="0.35">
      <c r="A14" s="21" t="s">
        <v>143</v>
      </c>
      <c r="B14" s="22">
        <f>SUM(B10:B13)</f>
        <v>55</v>
      </c>
      <c r="C14" s="23">
        <f>SUM(C10:C13)</f>
        <v>40</v>
      </c>
    </row>
    <row r="15" spans="1:4" x14ac:dyDescent="0.35">
      <c r="A15" s="24" t="s">
        <v>144</v>
      </c>
      <c r="B15" s="25">
        <v>2.5</v>
      </c>
      <c r="C15" s="25">
        <v>2.5</v>
      </c>
    </row>
    <row r="16" spans="1:4" ht="29" x14ac:dyDescent="0.35">
      <c r="A16" s="24" t="s">
        <v>145</v>
      </c>
      <c r="B16" s="26">
        <v>5</v>
      </c>
      <c r="C16" s="26">
        <v>5</v>
      </c>
    </row>
    <row r="17" spans="1:3" ht="29" x14ac:dyDescent="0.35">
      <c r="A17" s="24" t="s">
        <v>146</v>
      </c>
      <c r="B17" s="25">
        <v>15</v>
      </c>
      <c r="C17" s="25">
        <v>15</v>
      </c>
    </row>
    <row r="18" spans="1:3" ht="29" x14ac:dyDescent="0.35">
      <c r="A18" s="24" t="s">
        <v>147</v>
      </c>
      <c r="B18" s="27">
        <f>(B14/60)*B15*$B$7</f>
        <v>58872.916666666672</v>
      </c>
      <c r="C18" s="27">
        <f>(C14/60)*C15*$B$7</f>
        <v>42816.666666666672</v>
      </c>
    </row>
    <row r="19" spans="1:3" ht="29" x14ac:dyDescent="0.35">
      <c r="A19" s="24" t="s">
        <v>148</v>
      </c>
      <c r="B19" s="27">
        <f>B16*$B$7</f>
        <v>128450.00000000001</v>
      </c>
      <c r="C19" s="27">
        <f>C16*$B$7</f>
        <v>128450.00000000001</v>
      </c>
    </row>
    <row r="20" spans="1:3" x14ac:dyDescent="0.35">
      <c r="A20" s="24" t="s">
        <v>149</v>
      </c>
      <c r="B20" s="22">
        <f>B18+B19</f>
        <v>187322.91666666669</v>
      </c>
      <c r="C20" s="22">
        <f>C18+C19</f>
        <v>171266.66666666669</v>
      </c>
    </row>
    <row r="21" spans="1:3" x14ac:dyDescent="0.35">
      <c r="A21" s="24" t="s">
        <v>150</v>
      </c>
      <c r="B21" s="28">
        <f>(B20*2.68)/1000</f>
        <v>502.02541666666673</v>
      </c>
      <c r="C21" s="28">
        <f>(C20*2.68)/1000</f>
        <v>458.99466666666672</v>
      </c>
    </row>
    <row r="22" spans="1:3" x14ac:dyDescent="0.35">
      <c r="A22" s="24"/>
      <c r="B22" s="22"/>
      <c r="C22" s="23"/>
    </row>
    <row r="23" spans="1:3" x14ac:dyDescent="0.35">
      <c r="A23" s="29" t="s">
        <v>151</v>
      </c>
      <c r="B23" s="22">
        <f>22*B6</f>
        <v>1584</v>
      </c>
      <c r="C23" s="23">
        <f>15*B6</f>
        <v>1080</v>
      </c>
    </row>
    <row r="24" spans="1:3" x14ac:dyDescent="0.35">
      <c r="A24" s="24" t="s">
        <v>152</v>
      </c>
      <c r="B24" s="30">
        <v>9</v>
      </c>
      <c r="C24" s="30">
        <v>9</v>
      </c>
    </row>
    <row r="25" spans="1:3" x14ac:dyDescent="0.35">
      <c r="A25" s="24" t="s">
        <v>153</v>
      </c>
      <c r="B25" s="30">
        <v>45</v>
      </c>
      <c r="C25" s="30">
        <v>45</v>
      </c>
    </row>
    <row r="26" spans="1:3" x14ac:dyDescent="0.35">
      <c r="A26" s="24" t="s">
        <v>154</v>
      </c>
      <c r="B26" s="31">
        <v>0.4</v>
      </c>
      <c r="C26" s="31">
        <v>0.4</v>
      </c>
    </row>
    <row r="27" spans="1:3" x14ac:dyDescent="0.35">
      <c r="A27" s="24" t="s">
        <v>155</v>
      </c>
      <c r="B27" s="31">
        <v>0.1</v>
      </c>
      <c r="C27" s="31">
        <v>0.1</v>
      </c>
    </row>
    <row r="28" spans="1:3" x14ac:dyDescent="0.35">
      <c r="A28" s="24" t="s">
        <v>156</v>
      </c>
      <c r="B28" s="32">
        <f>55/45+20%</f>
        <v>1.4222222222222223</v>
      </c>
      <c r="C28" s="32">
        <f>55/45+20%</f>
        <v>1.4222222222222223</v>
      </c>
    </row>
    <row r="29" spans="1:3" x14ac:dyDescent="0.35">
      <c r="A29" s="24" t="s">
        <v>157</v>
      </c>
      <c r="B29" s="30">
        <f>4/2+(4/2)*75%</f>
        <v>3.5</v>
      </c>
      <c r="C29" s="30">
        <f>4/2+(4/2)*75%</f>
        <v>3.5</v>
      </c>
    </row>
    <row r="30" spans="1:3" x14ac:dyDescent="0.35">
      <c r="A30" s="24" t="s">
        <v>158</v>
      </c>
      <c r="B30" s="33">
        <f>B23*B24*B25*B26</f>
        <v>256608</v>
      </c>
      <c r="C30" s="33">
        <f>C23*C24*C25*C26</f>
        <v>174960</v>
      </c>
    </row>
    <row r="31" spans="1:3" x14ac:dyDescent="0.35">
      <c r="A31" s="24" t="s">
        <v>159</v>
      </c>
      <c r="B31" s="33">
        <f>B23*B24*B25*B27</f>
        <v>64152</v>
      </c>
      <c r="C31" s="33">
        <f>C23*C24*C25*C27</f>
        <v>43740</v>
      </c>
    </row>
    <row r="32" spans="1:3" x14ac:dyDescent="0.35">
      <c r="A32" s="24" t="s">
        <v>160</v>
      </c>
      <c r="B32" s="33">
        <f>B29*B3</f>
        <v>72445.8</v>
      </c>
      <c r="C32" s="33">
        <f>C29*C3</f>
        <v>0</v>
      </c>
    </row>
    <row r="33" spans="1:3" x14ac:dyDescent="0.35">
      <c r="A33" s="24" t="s">
        <v>161</v>
      </c>
      <c r="B33" s="33">
        <f>B28*B2</f>
        <v>219221.33333333337</v>
      </c>
      <c r="C33" s="33">
        <f>C28*C2</f>
        <v>0</v>
      </c>
    </row>
    <row r="34" spans="1:3" x14ac:dyDescent="0.35">
      <c r="A34" s="34" t="s">
        <v>162</v>
      </c>
      <c r="B34" s="33">
        <f>SUM(B30:B33)</f>
        <v>612427.1333333333</v>
      </c>
      <c r="C34" s="33">
        <f>SUM(C30:C33)</f>
        <v>218700</v>
      </c>
    </row>
    <row r="35" spans="1:3" x14ac:dyDescent="0.35">
      <c r="A35" s="24" t="s">
        <v>163</v>
      </c>
      <c r="B35" s="35">
        <f>B34*0.82/1000</f>
        <v>502.19024933333327</v>
      </c>
      <c r="C35" s="35">
        <f>C34*0.82/1000</f>
        <v>179.334</v>
      </c>
    </row>
    <row r="36" spans="1:3" x14ac:dyDescent="0.35">
      <c r="A36" s="36" t="s">
        <v>164</v>
      </c>
      <c r="B36" s="33">
        <f>B35+B21</f>
        <v>1004.2156660000001</v>
      </c>
      <c r="C36" s="33">
        <f>C35+C21</f>
        <v>638.32866666666678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937D-CD08-462B-8299-E79E94C0C99A}">
  <dimension ref="A1:C23"/>
  <sheetViews>
    <sheetView tabSelected="1" workbookViewId="0">
      <selection activeCell="B1" sqref="B1:C4"/>
    </sheetView>
  </sheetViews>
  <sheetFormatPr defaultRowHeight="14.5" x14ac:dyDescent="0.35"/>
  <cols>
    <col min="1" max="1" width="38" customWidth="1"/>
    <col min="2" max="3" width="25" customWidth="1"/>
  </cols>
  <sheetData>
    <row r="1" spans="1:3" x14ac:dyDescent="0.35">
      <c r="A1" s="38" t="s">
        <v>131</v>
      </c>
      <c r="B1" s="51">
        <f>RCC!B1/10.764</f>
        <v>204570.79152731327</v>
      </c>
      <c r="C1" s="52"/>
    </row>
    <row r="2" spans="1:3" x14ac:dyDescent="0.35">
      <c r="A2" s="38" t="s">
        <v>165</v>
      </c>
      <c r="B2" s="51">
        <f>B1*3.5</f>
        <v>715997.77034559648</v>
      </c>
      <c r="C2" s="52"/>
    </row>
    <row r="3" spans="1:3" x14ac:dyDescent="0.35">
      <c r="A3" s="38" t="s">
        <v>166</v>
      </c>
      <c r="B3" s="51">
        <f>B1*0.9</f>
        <v>184113.71237458196</v>
      </c>
      <c r="C3" s="52"/>
    </row>
    <row r="4" spans="1:3" x14ac:dyDescent="0.35">
      <c r="A4" s="38" t="s">
        <v>167</v>
      </c>
      <c r="B4" s="51">
        <f>B1*0.9</f>
        <v>184113.71237458196</v>
      </c>
      <c r="C4" s="52"/>
    </row>
    <row r="5" spans="1:3" x14ac:dyDescent="0.35">
      <c r="A5" s="38" t="s">
        <v>135</v>
      </c>
      <c r="B5" s="49">
        <v>3</v>
      </c>
      <c r="C5" s="50"/>
    </row>
    <row r="6" spans="1:3" x14ac:dyDescent="0.35">
      <c r="A6" s="38" t="s">
        <v>136</v>
      </c>
      <c r="B6" s="49">
        <v>72</v>
      </c>
      <c r="C6" s="50"/>
    </row>
    <row r="7" spans="1:3" x14ac:dyDescent="0.35">
      <c r="A7" s="38" t="s">
        <v>168</v>
      </c>
      <c r="B7" s="49">
        <f>B5*B6*5*3.2</f>
        <v>3456</v>
      </c>
      <c r="C7" s="50"/>
    </row>
    <row r="9" spans="1:3" x14ac:dyDescent="0.35">
      <c r="A9" s="40" t="s">
        <v>138</v>
      </c>
      <c r="B9" s="40" t="s">
        <v>2</v>
      </c>
      <c r="C9" s="40" t="s">
        <v>3</v>
      </c>
    </row>
    <row r="10" spans="1:3" x14ac:dyDescent="0.35">
      <c r="A10" s="38" t="s">
        <v>169</v>
      </c>
      <c r="B10" s="41">
        <v>0.125</v>
      </c>
      <c r="C10" s="41">
        <v>0.06</v>
      </c>
    </row>
    <row r="11" spans="1:3" x14ac:dyDescent="0.35">
      <c r="A11" s="38" t="s">
        <v>170</v>
      </c>
      <c r="B11" s="41">
        <v>0.08</v>
      </c>
      <c r="C11" s="41">
        <v>0.04</v>
      </c>
    </row>
    <row r="12" spans="1:3" x14ac:dyDescent="0.35">
      <c r="A12" s="38" t="s">
        <v>171</v>
      </c>
      <c r="B12" s="41">
        <v>0.1</v>
      </c>
      <c r="C12" s="41">
        <v>0.04</v>
      </c>
    </row>
    <row r="13" spans="1:3" x14ac:dyDescent="0.35">
      <c r="A13" s="38" t="s">
        <v>172</v>
      </c>
      <c r="B13" s="41">
        <v>8.5000000000000006E-2</v>
      </c>
      <c r="C13" s="41">
        <v>0.04</v>
      </c>
    </row>
    <row r="14" spans="1:3" x14ac:dyDescent="0.35">
      <c r="A14" s="38" t="s">
        <v>173</v>
      </c>
      <c r="B14" s="39">
        <v>600</v>
      </c>
      <c r="C14" s="39">
        <v>420</v>
      </c>
    </row>
    <row r="15" spans="1:3" x14ac:dyDescent="0.35">
      <c r="A15" s="38" t="s">
        <v>174</v>
      </c>
      <c r="B15" s="39">
        <f>(45*9)</f>
        <v>405</v>
      </c>
      <c r="C15" s="42">
        <f>B15*65%</f>
        <v>263.25</v>
      </c>
    </row>
    <row r="16" spans="1:3" x14ac:dyDescent="0.35">
      <c r="A16" s="38" t="s">
        <v>175</v>
      </c>
      <c r="B16" s="42">
        <f>B14*B15</f>
        <v>243000</v>
      </c>
      <c r="C16" s="42">
        <f>C14*C15</f>
        <v>110565</v>
      </c>
    </row>
    <row r="17" spans="1:3" x14ac:dyDescent="0.35">
      <c r="A17" s="38" t="s">
        <v>176</v>
      </c>
      <c r="B17" s="42">
        <f>$B$2*B10*0.015</f>
        <v>1342.4958193979933</v>
      </c>
      <c r="C17" s="42">
        <f>$B$2*C10*0.015</f>
        <v>644.39799331103677</v>
      </c>
    </row>
    <row r="18" spans="1:3" x14ac:dyDescent="0.35">
      <c r="A18" s="38" t="s">
        <v>177</v>
      </c>
      <c r="B18" s="42">
        <f>$B$3*B11*0.02</f>
        <v>294.58193979933111</v>
      </c>
      <c r="C18" s="42">
        <f>$B$3*C11*0.02</f>
        <v>147.29096989966555</v>
      </c>
    </row>
    <row r="19" spans="1:3" x14ac:dyDescent="0.35">
      <c r="A19" s="38" t="s">
        <v>178</v>
      </c>
      <c r="B19" s="42">
        <f>$B$4*B12*0.03</f>
        <v>552.34113712374585</v>
      </c>
      <c r="C19" s="42">
        <f>$B$4*C12*0.03</f>
        <v>220.93645484949835</v>
      </c>
    </row>
    <row r="20" spans="1:3" x14ac:dyDescent="0.35">
      <c r="A20" s="38" t="s">
        <v>179</v>
      </c>
      <c r="B20" s="42">
        <f>$B$7*B13*0.04</f>
        <v>11.750400000000003</v>
      </c>
      <c r="C20" s="42">
        <f>$B$7*C13*0.04</f>
        <v>5.5296000000000003</v>
      </c>
    </row>
    <row r="21" spans="1:3" x14ac:dyDescent="0.35">
      <c r="A21" s="38" t="s">
        <v>180</v>
      </c>
      <c r="B21" s="42">
        <f>B16*0.82/1000</f>
        <v>199.26</v>
      </c>
      <c r="C21" s="42">
        <f>C16*0.82/1000</f>
        <v>90.663299999999992</v>
      </c>
    </row>
    <row r="22" spans="1:3" x14ac:dyDescent="0.35">
      <c r="A22" s="38" t="s">
        <v>181</v>
      </c>
      <c r="B22" s="42">
        <f>SUM(B17:B20)</f>
        <v>2201.1692963210703</v>
      </c>
      <c r="C22" s="42">
        <f>SUM(C17:C20)</f>
        <v>1018.1550180602006</v>
      </c>
    </row>
    <row r="23" spans="1:3" x14ac:dyDescent="0.35">
      <c r="A23" s="43" t="s">
        <v>182</v>
      </c>
      <c r="B23" s="44">
        <f>B21+B22</f>
        <v>2400.4292963210701</v>
      </c>
      <c r="C23" s="44">
        <f>C21+C22</f>
        <v>1108.8183180602007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Piling</vt:lpstr>
      <vt:lpstr>Excavation</vt:lpstr>
      <vt:lpstr>RCC</vt:lpstr>
      <vt:lpstr>Finishes &amp; MEP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Kuhikar</cp:lastModifiedBy>
  <dcterms:created xsi:type="dcterms:W3CDTF">2026-06-03T06:50:47Z</dcterms:created>
  <dcterms:modified xsi:type="dcterms:W3CDTF">2026-06-03T11:18:02Z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2026-06-03T06:58:39Z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01bdae61-8d0b-4739-99b3-92b1986023f0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