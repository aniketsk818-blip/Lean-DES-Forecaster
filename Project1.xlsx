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larsentoubro-my.sharepoint.com/personal/aniket_kuhikar_larsentoubro_com/Documents/Desktop/Thesis_Dashboard/"/>
    </mc:Choice>
  </mc:AlternateContent>
  <xr:revisionPtr revIDLastSave="0" documentId="13_ncr:1_{D119553E-3F86-4A1F-9C5B-967F90D3F14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iling" sheetId="1" r:id="rId1"/>
    <sheet name="Excavation" sheetId="2" r:id="rId2"/>
    <sheet name="RCC" sheetId="3" r:id="rId3"/>
    <sheet name="Finishes &amp; ME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4" l="1"/>
  <c r="B7" i="4"/>
  <c r="B4" i="4"/>
  <c r="B3" i="4"/>
  <c r="B2" i="4"/>
  <c r="C29" i="3"/>
  <c r="B29" i="3"/>
  <c r="C28" i="3"/>
  <c r="B28" i="3"/>
  <c r="C23" i="3"/>
  <c r="B23" i="3"/>
  <c r="C14" i="3"/>
  <c r="B14" i="3"/>
  <c r="B1" i="3"/>
  <c r="E25" i="2"/>
  <c r="C25" i="2"/>
  <c r="D24" i="2"/>
  <c r="D8" i="2"/>
  <c r="C8" i="2"/>
  <c r="D4" i="2"/>
  <c r="C4" i="2"/>
  <c r="D2" i="1"/>
  <c r="C2" i="1"/>
  <c r="D21" i="1"/>
  <c r="C21" i="1"/>
  <c r="D20" i="1"/>
  <c r="D19" i="1"/>
  <c r="D15" i="1"/>
  <c r="D12" i="1"/>
  <c r="D9" i="1"/>
  <c r="D8" i="1"/>
  <c r="D5" i="1"/>
  <c r="D3" i="1"/>
  <c r="C3" i="1"/>
  <c r="E13" i="1"/>
  <c r="C13" i="1"/>
  <c r="B20" i="4" l="1"/>
  <c r="B19" i="4"/>
  <c r="C17" i="4"/>
  <c r="C22" i="4" s="1"/>
  <c r="B16" i="4"/>
  <c r="B21" i="4" s="1"/>
  <c r="C15" i="4"/>
  <c r="C16" i="4" s="1"/>
  <c r="C21" i="4" s="1"/>
  <c r="C20" i="4"/>
  <c r="C19" i="4"/>
  <c r="C18" i="4"/>
  <c r="B18" i="4"/>
  <c r="B17" i="4"/>
  <c r="C33" i="3"/>
  <c r="B31" i="3"/>
  <c r="C30" i="3"/>
  <c r="B4" i="3"/>
  <c r="B3" i="3"/>
  <c r="B2" i="3"/>
  <c r="B7" i="3" s="1"/>
  <c r="B18" i="3"/>
  <c r="B33" i="3"/>
  <c r="C32" i="3"/>
  <c r="C31" i="3"/>
  <c r="B30" i="3"/>
  <c r="E26" i="2"/>
  <c r="C26" i="2"/>
  <c r="C9" i="2"/>
  <c r="D25" i="2"/>
  <c r="D26" i="2" s="1"/>
  <c r="D27" i="2" s="1"/>
  <c r="D9" i="2"/>
  <c r="D22" i="1"/>
  <c r="D17" i="1"/>
  <c r="C20" i="1"/>
  <c r="C15" i="1"/>
  <c r="C17" i="1" s="1"/>
  <c r="C19" i="1"/>
  <c r="E20" i="1"/>
  <c r="D13" i="1"/>
  <c r="E14" i="1"/>
  <c r="C14" i="1"/>
  <c r="C23" i="4" l="1"/>
  <c r="B22" i="4"/>
  <c r="B23" i="4" s="1"/>
  <c r="C19" i="3"/>
  <c r="B19" i="3"/>
  <c r="B20" i="3" s="1"/>
  <c r="B21" i="3" s="1"/>
  <c r="C18" i="3"/>
  <c r="C20" i="3" s="1"/>
  <c r="C21" i="3" s="1"/>
  <c r="B32" i="3"/>
  <c r="B34" i="3" s="1"/>
  <c r="B35" i="3" s="1"/>
  <c r="B36" i="3" s="1"/>
  <c r="C34" i="3"/>
  <c r="C35" i="3" s="1"/>
  <c r="C36" i="3" s="1"/>
  <c r="C27" i="2"/>
  <c r="E27" i="2"/>
  <c r="C12" i="2"/>
  <c r="E12" i="2"/>
  <c r="D12" i="2"/>
  <c r="C18" i="1"/>
  <c r="C22" i="1"/>
  <c r="E22" i="1"/>
  <c r="D14" i="1"/>
  <c r="D18" i="1" s="1"/>
  <c r="E15" i="1"/>
  <c r="E15" i="2" l="1"/>
  <c r="C16" i="2"/>
  <c r="C18" i="2"/>
  <c r="E16" i="2"/>
  <c r="C15" i="2"/>
  <c r="E18" i="2"/>
  <c r="D16" i="2"/>
  <c r="D18" i="2"/>
  <c r="D15" i="2"/>
  <c r="D29" i="2" s="1"/>
  <c r="E17" i="1"/>
  <c r="C28" i="2" l="1"/>
  <c r="E28" i="2"/>
  <c r="E30" i="2"/>
  <c r="C31" i="2"/>
  <c r="E31" i="2"/>
  <c r="C30" i="2"/>
  <c r="C29" i="2"/>
  <c r="E29" i="2"/>
  <c r="D30" i="2"/>
  <c r="D31" i="2"/>
  <c r="D28" i="2"/>
  <c r="D32" i="2" s="1"/>
  <c r="E18" i="1"/>
  <c r="C32" i="2" l="1"/>
  <c r="E32" i="2"/>
  <c r="C33" i="2"/>
  <c r="E33" i="2"/>
  <c r="D33" i="2"/>
</calcChain>
</file>

<file path=xl/sharedStrings.xml><?xml version="1.0" encoding="utf-8"?>
<sst xmlns="http://schemas.openxmlformats.org/spreadsheetml/2006/main" count="232" uniqueCount="187">
  <si>
    <t>Row</t>
  </si>
  <si>
    <t>Event Component / Parameter</t>
  </si>
  <si>
    <t>Forecast A (BAU Risk)</t>
  </si>
  <si>
    <t>Forecast B (Lean-Optimized)</t>
  </si>
  <si>
    <t>Excel Formula (Forecast A column)</t>
  </si>
  <si>
    <t>Remarks / Logic</t>
  </si>
  <si>
    <t>2</t>
  </si>
  <si>
    <t>Total Piles</t>
  </si>
  <si>
    <t>Derived from 470 RMT / 0.9m spacing</t>
  </si>
  <si>
    <t>3</t>
  </si>
  <si>
    <t>Shift Duration (mins)</t>
  </si>
  <si>
    <t>Hardcoded</t>
  </si>
  <si>
    <t>Standard working shift</t>
  </si>
  <si>
    <t>4</t>
  </si>
  <si>
    <t>Concurrency Index</t>
  </si>
  <si>
    <t>Historical site parallel tracking</t>
  </si>
  <si>
    <t>5</t>
  </si>
  <si>
    <t>Rig Positioning</t>
  </si>
  <si>
    <t>Forecast B = Forecast A * 0.70 (VSM)</t>
  </si>
  <si>
    <t>6</t>
  </si>
  <si>
    <t>Boring (0-8m Soil)</t>
  </si>
  <si>
    <t>Value-Adding (Unchanged)</t>
  </si>
  <si>
    <t>7</t>
  </si>
  <si>
    <t>Boring (8-18m Rock)</t>
  </si>
  <si>
    <t>8</t>
  </si>
  <si>
    <t>Cleaning &amp; Flushing</t>
  </si>
  <si>
    <t>9</t>
  </si>
  <si>
    <t>Cage Lowering</t>
  </si>
  <si>
    <t>10</t>
  </si>
  <si>
    <t>RMC Wait Lag</t>
  </si>
  <si>
    <t>Forecast B strictly targets 36 mins (JIT)</t>
  </si>
  <si>
    <t>11</t>
  </si>
  <si>
    <t>Concreting (9.14m3)</t>
  </si>
  <si>
    <t>12</t>
  </si>
  <si>
    <t>Rig Shifting</t>
  </si>
  <si>
    <t>13</t>
  </si>
  <si>
    <t>Total Cycle Time (mins)</t>
  </si>
  <si>
    <t>Sum of sub-activities</t>
  </si>
  <si>
    <t>14</t>
  </si>
  <si>
    <t>Uncrashed Piles / Day</t>
  </si>
  <si>
    <t>Shift / Cycle * Concurrency (Breaks loop)</t>
  </si>
  <si>
    <t>15</t>
  </si>
  <si>
    <t>Uncrashed Total Days</t>
  </si>
  <si>
    <t>Total Piles / Uncrashed Piles per Day</t>
  </si>
  <si>
    <t>16</t>
  </si>
  <si>
    <t>Parallel Scaling Lever</t>
  </si>
  <si>
    <t>0.85 applies for concurrent twin-rig CPM crashing</t>
  </si>
  <si>
    <t>17</t>
  </si>
  <si>
    <t>Final Total Days</t>
  </si>
  <si>
    <t>Applies Lean timeline crash (Breaks loop)</t>
  </si>
  <si>
    <t>18</t>
  </si>
  <si>
    <t>Effective Piles / Day</t>
  </si>
  <si>
    <t>Total Piles / Final Days (For reporting)</t>
  </si>
  <si>
    <t>19</t>
  </si>
  <si>
    <t>Working Fuel (L)</t>
  </si>
  <si>
    <t>Constant physical work energy</t>
  </si>
  <si>
    <t>20</t>
  </si>
  <si>
    <t>Idle Fuel (L)</t>
  </si>
  <si>
    <t>Uses exact formula: (Piles*(Cage+Wait)/60)*6.5</t>
  </si>
  <si>
    <t>21</t>
  </si>
  <si>
    <t>Fixed Electricity (Tonnes)</t>
  </si>
  <si>
    <t>Standard site overhead</t>
  </si>
  <si>
    <t>22</t>
  </si>
  <si>
    <t>Total Carbon (Tonnes)</t>
  </si>
  <si>
    <t>Converts Liters to Tonnes CO2e + Electricity</t>
  </si>
  <si>
    <t>Volume Derivation Parameter</t>
  </si>
  <si>
    <t>Value</t>
  </si>
  <si>
    <t>Formula Logic</t>
  </si>
  <si>
    <t>Remarks</t>
  </si>
  <si>
    <t>Total Plot Area (m²)</t>
  </si>
  <si>
    <t>Given project configuration</t>
  </si>
  <si>
    <t>Basement Coverage Factor</t>
  </si>
  <si>
    <t>Standard urban plot coverage</t>
  </si>
  <si>
    <t>Effective Footprint (m²)</t>
  </si>
  <si>
    <t>Plot Area * Coverage Factor</t>
  </si>
  <si>
    <t>Number of Basements</t>
  </si>
  <si>
    <t>Height per Basement (m)</t>
  </si>
  <si>
    <t>Standard floor-to-floor height</t>
  </si>
  <si>
    <t>Raft/Pile Cap Allowance (m)</t>
  </si>
  <si>
    <t>Foundation mat clearance</t>
  </si>
  <si>
    <t>Total Depth (m)</t>
  </si>
  <si>
    <t>(Basements * Height) + Allowance</t>
  </si>
  <si>
    <t>Total Excavation Volume (m³)</t>
  </si>
  <si>
    <t>Effective Footprint * Total Depth</t>
  </si>
  <si>
    <t>Excel Formula (Forecast A)</t>
  </si>
  <si>
    <t>Excavation Volume (m³)</t>
  </si>
  <si>
    <t>Linked directly to derivation in Row 9</t>
  </si>
  <si>
    <t>Soil Stratum Ratio</t>
  </si>
  <si>
    <t>Historical site strata analysis (35%)</t>
  </si>
  <si>
    <t>Hard Rock Stratum Ratio</t>
  </si>
  <si>
    <t>Historical site strata analysis (65%)</t>
  </si>
  <si>
    <t>Soil Volume (m³)</t>
  </si>
  <si>
    <t>Total Volume * Soil Ratio</t>
  </si>
  <si>
    <t>Rock Volume (m³)</t>
  </si>
  <si>
    <t>Total Volume * Rock Ratio</t>
  </si>
  <si>
    <t>Tipper Capacity (m³/trip)</t>
  </si>
  <si>
    <t>Standard volumetric capacity</t>
  </si>
  <si>
    <t>Total Required Trips</t>
  </si>
  <si>
    <t>Total Volume / Capacity</t>
  </si>
  <si>
    <t>Excavator Fleet Size</t>
  </si>
  <si>
    <t>Standard concurrent mass excavation fleet</t>
  </si>
  <si>
    <t>Inbound Positioning (mins)</t>
  </si>
  <si>
    <t>Forecast B = 1.0 (VSM Haul Route Leveling)</t>
  </si>
  <si>
    <t>Shovel Loading Time (mins)</t>
  </si>
  <si>
    <t>23</t>
  </si>
  <si>
    <t>Outbound Positioning (mins)</t>
  </si>
  <si>
    <t>24</t>
  </si>
  <si>
    <t>Idle Wait Waste (mins)</t>
  </si>
  <si>
    <t>Forecast B cuts 80% via JIT Match-Factor</t>
  </si>
  <si>
    <t>25</t>
  </si>
  <si>
    <t>Total Cycle Time / Trip</t>
  </si>
  <si>
    <t>Sum of trip sub-activities</t>
  </si>
  <si>
    <t>26</t>
  </si>
  <si>
    <t>Trips / Excavator / Day</t>
  </si>
  <si>
    <t>Shift Duration / Total Cycle Time</t>
  </si>
  <si>
    <t>27</t>
  </si>
  <si>
    <t>Effective Fleet Trips / Day</t>
  </si>
  <si>
    <t>Trips per Excavator * Fleet Size</t>
  </si>
  <si>
    <t>28</t>
  </si>
  <si>
    <t>Total Calendar Days</t>
  </si>
  <si>
    <t>Total Required Trips / Effective Fleet Trips</t>
  </si>
  <si>
    <t>29</t>
  </si>
  <si>
    <t>Excavator Digging Fuel (L)</t>
  </si>
  <si>
    <t>Soil(0.15 L/m3) + Rock(0.40 L/m3)</t>
  </si>
  <si>
    <t>30</t>
  </si>
  <si>
    <t>Tipper Hauling Fuel (L)</t>
  </si>
  <si>
    <t>Total Trips * 15 km round trip @ 3kmpl</t>
  </si>
  <si>
    <t>31</t>
  </si>
  <si>
    <t>Excavator Idle Fuel (L)</t>
  </si>
  <si>
    <t>(Trips * Idle Mins / 60) * 4.5 L/hr stall burn</t>
  </si>
  <si>
    <t>32</t>
  </si>
  <si>
    <t>Site Overhead Electricity (Tonnes)</t>
  </si>
  <si>
    <t>Total Days * 135 kWh/day * 0.82 grid factor</t>
  </si>
  <si>
    <t>33</t>
  </si>
  <si>
    <t>Converts ALL Liters to Tonnes CO2e + Electricity</t>
  </si>
  <si>
    <t>Total BUA (m²)</t>
  </si>
  <si>
    <t>Concrete Volume (m³)</t>
  </si>
  <si>
    <t>Reinforcement Steel (MT)</t>
  </si>
  <si>
    <t>Shuttering Area (m²)</t>
  </si>
  <si>
    <t>Number of Towers</t>
  </si>
  <si>
    <t>Levels per Tower</t>
  </si>
  <si>
    <t>Total RMC Trips (6m³)</t>
  </si>
  <si>
    <t>Event Component</t>
  </si>
  <si>
    <t>Entry &amp; Gate Process (min)</t>
  </si>
  <si>
    <t>Queue &amp; Parking (min)</t>
  </si>
  <si>
    <t>Discharge (6m³) (min)</t>
  </si>
  <si>
    <t>Clean &amp; Exit (min)</t>
  </si>
  <si>
    <t>Total Cycle / Trip</t>
  </si>
  <si>
    <t>Site window diesel consumption/hr</t>
  </si>
  <si>
    <t>Diesel conumption/hr for transport distance</t>
  </si>
  <si>
    <t>Average transport distance for RMC plant</t>
  </si>
  <si>
    <t>Total diesel consumption Site Window for total trips</t>
  </si>
  <si>
    <t>Total diesel consumption during transport</t>
  </si>
  <si>
    <t>Total Diesel consumption</t>
  </si>
  <si>
    <t>Carbon emissions (t) @@ 2.68 kg/L</t>
  </si>
  <si>
    <t>Total Duration</t>
  </si>
  <si>
    <t>Total Site working hours</t>
  </si>
  <si>
    <t>Energy consumtion/hr</t>
  </si>
  <si>
    <t>Utilisation factor for Tower crane</t>
  </si>
  <si>
    <t>Utilisation factor for Passenger hoist</t>
  </si>
  <si>
    <t>Concrete Pump efficiency</t>
  </si>
  <si>
    <t>Steel yard efficiency</t>
  </si>
  <si>
    <t>Tower Cranes (3 Nos)</t>
  </si>
  <si>
    <t>Passenger Hoists (9 Nos)</t>
  </si>
  <si>
    <t>Steel Yard (On-site)</t>
  </si>
  <si>
    <t>Concrete Pumps (3 Nos)</t>
  </si>
  <si>
    <t>Total Electricity</t>
  </si>
  <si>
    <t>Carbon emissions (t) @0.82 kg/kWh</t>
  </si>
  <si>
    <t>TOTAL RCC FOOTPRINT</t>
  </si>
  <si>
    <t>Base Plaster Area (m²)</t>
  </si>
  <si>
    <t>Floor Screed Area (m²)</t>
  </si>
  <si>
    <t>Floor Tiling Area (m²)</t>
  </si>
  <si>
    <t>Total MEP Shafts (Rmts)</t>
  </si>
  <si>
    <t>Plaster Waste Coefficient (%)</t>
  </si>
  <si>
    <t>Screed Waste Coefficient (%)</t>
  </si>
  <si>
    <t>Tiling Waste Coefficient (%)</t>
  </si>
  <si>
    <t>MEP Rework/Clash Rate (%)</t>
  </si>
  <si>
    <t>Finishing Duration Post-RCC (Days)</t>
  </si>
  <si>
    <t>Material Hoist Draw (kWh/Day)</t>
  </si>
  <si>
    <t>Total Hoist Electricity (kWh)</t>
  </si>
  <si>
    <t>Plaster Waste Carbon (Tonnes)</t>
  </si>
  <si>
    <t>Screed Waste Carbon (Tonnes)</t>
  </si>
  <si>
    <t>Tiling Waste Carbon (Tonnes)</t>
  </si>
  <si>
    <t>MEP Rework Carbon (Tonnes)</t>
  </si>
  <si>
    <t>Total Electricity Carbon (Tonnes)</t>
  </si>
  <si>
    <t>Total Material Carbon (Tonnes)</t>
  </si>
  <si>
    <t>Total Finishing Carbon (Tonnes)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</si>
</sst>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37562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2" fontId="2" fillId="3" borderId="0" xfId="0" applyNumberFormat="1" applyFont="1" applyFill="1"/>
    <xf numFmtId="2" fontId="0" fillId="0" borderId="0" xfId="0" applyNumberFormat="1"/>
    <xf numFmtId="1" fontId="2" fillId="3" borderId="0" xfId="0" applyNumberFormat="1" applyFont="1" applyFill="1"/>
    <xf numFmtId="1" fontId="0" fillId="0" borderId="0" xfId="0" applyNumberFormat="1"/>
    <xf numFmtId="2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6" fillId="3" borderId="0" xfId="0" applyFont="1" applyFill="1"/>
    <xf numFmtId="1" fontId="6" fillId="3" borderId="0" xfId="0" applyNumberFormat="1" applyFont="1" applyFill="1"/>
    <xf numFmtId="0" fontId="5" fillId="2" borderId="0" xfId="0" applyFont="1" applyFill="1" applyAlignment="1">
      <alignment horizontal="center" vertical="center"/>
    </xf>
    <xf numFmtId="164" fontId="6" fillId="3" borderId="0" xfId="1" applyNumberFormat="1" applyFont="1" applyFill="1"/>
    <xf numFmtId="43" fontId="0" fillId="0" borderId="0" xfId="1" applyFont="1"/>
    <xf numFmtId="164" fontId="0" fillId="0" borderId="0" xfId="1" applyNumberFormat="1" applyFont="1"/>
    <xf numFmtId="0" fontId="0" fillId="0" borderId="1" xfId="0" applyBorder="1" applyAlignment="1">
      <alignment vertical="center"/>
    </xf>
    <xf numFmtId="164" fontId="0" fillId="0" borderId="1" xfId="1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164" fontId="2" fillId="0" borderId="1" xfId="1" applyNumberFormat="1" applyFont="1" applyBorder="1" applyAlignment="1">
      <alignment horizontal="right" vertical="center"/>
    </xf>
    <xf numFmtId="164" fontId="2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164" fontId="7" fillId="0" borderId="1" xfId="1" applyNumberFormat="1" applyFont="1" applyBorder="1" applyAlignment="1">
      <alignment horizontal="right" vertical="center"/>
    </xf>
    <xf numFmtId="1" fontId="4" fillId="0" borderId="1" xfId="0" applyNumberFormat="1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9" fontId="4" fillId="0" borderId="1" xfId="0" applyNumberFormat="1" applyFont="1" applyBorder="1" applyAlignment="1">
      <alignment horizontal="right" vertical="center" wrapText="1"/>
    </xf>
    <xf numFmtId="2" fontId="4" fillId="0" borderId="1" xfId="0" applyNumberFormat="1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164" fontId="0" fillId="0" borderId="1" xfId="0" applyNumberFormat="1" applyBorder="1" applyAlignment="1">
      <alignment horizontal="right" vertical="center"/>
    </xf>
    <xf numFmtId="0" fontId="4" fillId="0" borderId="1" xfId="0" applyFont="1" applyBorder="1"/>
    <xf numFmtId="0" fontId="0" fillId="0" borderId="0" xfId="0" applyAlignment="1">
      <alignment horizontal="right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" xfId="0" applyFont="1" applyBorder="1"/>
    <xf numFmtId="1" fontId="2" fillId="0" borderId="1" xfId="0" applyNumberFormat="1" applyFont="1" applyBorder="1" applyAlignment="1">
      <alignment horizontal="center"/>
    </xf>
    <xf numFmtId="164" fontId="0" fillId="0" borderId="1" xfId="1" applyNumberFormat="1" applyFont="1" applyBorder="1" applyAlignment="1">
      <alignment horizontal="center" vertical="center"/>
    </xf>
    <xf numFmtId="164" fontId="0" fillId="0" borderId="1" xfId="1" applyNumberFormat="1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E17" sqref="E17"/>
    </sheetView>
  </sheetViews>
  <sheetFormatPr defaultRowHeight="14.5" x14ac:dyDescent="0.35"/>
  <cols>
    <col min="1" max="1" width="8.7265625" style="8"/>
    <col min="2" max="2" width="30" customWidth="1"/>
    <col min="3" max="4" width="20" customWidth="1"/>
    <col min="5" max="5" width="29.90625" bestFit="1" customWidth="1"/>
    <col min="6" max="6" width="50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8" t="s">
        <v>6</v>
      </c>
      <c r="B2" t="s">
        <v>7</v>
      </c>
      <c r="C2" s="6">
        <f>470/0.9</f>
        <v>522.22222222222217</v>
      </c>
      <c r="D2" s="6">
        <f>470/0.9</f>
        <v>522.22222222222217</v>
      </c>
      <c r="F2" t="s">
        <v>8</v>
      </c>
    </row>
    <row r="3" spans="1:6" x14ac:dyDescent="0.35">
      <c r="A3" s="8" t="s">
        <v>9</v>
      </c>
      <c r="B3" t="s">
        <v>10</v>
      </c>
      <c r="C3">
        <f>9*60</f>
        <v>540</v>
      </c>
      <c r="D3">
        <f>9*60</f>
        <v>540</v>
      </c>
      <c r="F3" t="s">
        <v>12</v>
      </c>
    </row>
    <row r="4" spans="1:6" x14ac:dyDescent="0.35">
      <c r="A4" s="8" t="s">
        <v>13</v>
      </c>
      <c r="B4" t="s">
        <v>14</v>
      </c>
      <c r="C4">
        <v>1.66</v>
      </c>
      <c r="D4">
        <v>1.66</v>
      </c>
      <c r="F4" t="s">
        <v>15</v>
      </c>
    </row>
    <row r="5" spans="1:6" x14ac:dyDescent="0.35">
      <c r="A5" s="8" t="s">
        <v>16</v>
      </c>
      <c r="B5" t="s">
        <v>17</v>
      </c>
      <c r="C5">
        <v>35</v>
      </c>
      <c r="D5">
        <f>C5*0.7</f>
        <v>24.5</v>
      </c>
      <c r="F5" t="s">
        <v>18</v>
      </c>
    </row>
    <row r="6" spans="1:6" x14ac:dyDescent="0.35">
      <c r="A6" s="8" t="s">
        <v>19</v>
      </c>
      <c r="B6" t="s">
        <v>20</v>
      </c>
      <c r="C6">
        <v>55</v>
      </c>
      <c r="D6">
        <v>55</v>
      </c>
      <c r="F6" t="s">
        <v>21</v>
      </c>
    </row>
    <row r="7" spans="1:6" x14ac:dyDescent="0.35">
      <c r="A7" s="8" t="s">
        <v>22</v>
      </c>
      <c r="B7" t="s">
        <v>23</v>
      </c>
      <c r="C7">
        <v>125</v>
      </c>
      <c r="D7">
        <v>125</v>
      </c>
      <c r="F7" t="s">
        <v>21</v>
      </c>
    </row>
    <row r="8" spans="1:6" x14ac:dyDescent="0.35">
      <c r="A8" s="8" t="s">
        <v>24</v>
      </c>
      <c r="B8" t="s">
        <v>25</v>
      </c>
      <c r="C8">
        <v>40</v>
      </c>
      <c r="D8">
        <f>C8*0.7</f>
        <v>28</v>
      </c>
      <c r="F8" t="s">
        <v>18</v>
      </c>
    </row>
    <row r="9" spans="1:6" x14ac:dyDescent="0.35">
      <c r="A9" s="8" t="s">
        <v>26</v>
      </c>
      <c r="B9" t="s">
        <v>27</v>
      </c>
      <c r="C9">
        <v>45</v>
      </c>
      <c r="D9">
        <f>C9*0.7</f>
        <v>31.499999999999996</v>
      </c>
      <c r="F9" t="s">
        <v>18</v>
      </c>
    </row>
    <row r="10" spans="1:6" x14ac:dyDescent="0.35">
      <c r="A10" s="8" t="s">
        <v>28</v>
      </c>
      <c r="B10" t="s">
        <v>29</v>
      </c>
      <c r="C10">
        <v>90</v>
      </c>
      <c r="D10">
        <v>36</v>
      </c>
      <c r="F10" t="s">
        <v>30</v>
      </c>
    </row>
    <row r="11" spans="1:6" x14ac:dyDescent="0.35">
      <c r="A11" s="8" t="s">
        <v>31</v>
      </c>
      <c r="B11" t="s">
        <v>32</v>
      </c>
      <c r="C11">
        <v>65</v>
      </c>
      <c r="D11">
        <v>65</v>
      </c>
      <c r="F11" t="s">
        <v>21</v>
      </c>
    </row>
    <row r="12" spans="1:6" x14ac:dyDescent="0.35">
      <c r="A12" s="8" t="s">
        <v>33</v>
      </c>
      <c r="B12" t="s">
        <v>34</v>
      </c>
      <c r="C12">
        <v>40</v>
      </c>
      <c r="D12">
        <f>C12*0.7</f>
        <v>28</v>
      </c>
      <c r="F12" t="s">
        <v>18</v>
      </c>
    </row>
    <row r="13" spans="1:6" x14ac:dyDescent="0.35">
      <c r="A13" s="8" t="s">
        <v>35</v>
      </c>
      <c r="B13" s="2" t="s">
        <v>36</v>
      </c>
      <c r="C13" s="5">
        <f>SUM(C5:C12)</f>
        <v>495</v>
      </c>
      <c r="D13" s="5">
        <f>SUM(D5:D12)</f>
        <v>393</v>
      </c>
      <c r="E13" s="7">
        <f>SUM(C5:C12)</f>
        <v>495</v>
      </c>
      <c r="F13" t="s">
        <v>37</v>
      </c>
    </row>
    <row r="14" spans="1:6" x14ac:dyDescent="0.35">
      <c r="A14" s="8" t="s">
        <v>38</v>
      </c>
      <c r="B14" s="2" t="s">
        <v>39</v>
      </c>
      <c r="C14" s="3">
        <f>(C3/C13)*C4</f>
        <v>1.8109090909090906</v>
      </c>
      <c r="D14" s="3">
        <f>(D3/D13)*D4</f>
        <v>2.280916030534351</v>
      </c>
      <c r="E14" s="7">
        <f>(C3/C13)*C4</f>
        <v>1.8109090909090906</v>
      </c>
      <c r="F14" t="s">
        <v>40</v>
      </c>
    </row>
    <row r="15" spans="1:6" x14ac:dyDescent="0.35">
      <c r="A15" s="8" t="s">
        <v>41</v>
      </c>
      <c r="B15" s="2" t="s">
        <v>42</v>
      </c>
      <c r="C15" s="5">
        <f>C2/C14</f>
        <v>288.37572512271311</v>
      </c>
      <c r="D15" s="5">
        <f>D2/D14</f>
        <v>228.95284843076007</v>
      </c>
      <c r="E15" s="7">
        <f>C2/C14</f>
        <v>288.37572512271311</v>
      </c>
      <c r="F15" t="s">
        <v>43</v>
      </c>
    </row>
    <row r="16" spans="1:6" x14ac:dyDescent="0.35">
      <c r="A16" s="8" t="s">
        <v>44</v>
      </c>
      <c r="B16" t="s">
        <v>45</v>
      </c>
      <c r="C16" s="4">
        <v>1</v>
      </c>
      <c r="D16" s="4">
        <v>0.85</v>
      </c>
      <c r="E16" s="7"/>
      <c r="F16" t="s">
        <v>46</v>
      </c>
    </row>
    <row r="17" spans="1:6" x14ac:dyDescent="0.35">
      <c r="A17" s="8" t="s">
        <v>47</v>
      </c>
      <c r="B17" s="2" t="s">
        <v>48</v>
      </c>
      <c r="C17" s="5">
        <f>C15*C16</f>
        <v>288.37572512271311</v>
      </c>
      <c r="D17" s="5">
        <f>D15*D16</f>
        <v>194.60992116614605</v>
      </c>
      <c r="E17" s="7">
        <f>C15*C16</f>
        <v>288.37572512271311</v>
      </c>
      <c r="F17" t="s">
        <v>49</v>
      </c>
    </row>
    <row r="18" spans="1:6" x14ac:dyDescent="0.35">
      <c r="A18" s="8" t="s">
        <v>50</v>
      </c>
      <c r="B18" s="2" t="s">
        <v>51</v>
      </c>
      <c r="C18" s="3">
        <f>C2/C17</f>
        <v>1.8109090909090906</v>
      </c>
      <c r="D18" s="3">
        <f>D2/D17</f>
        <v>2.6834306241580599</v>
      </c>
      <c r="E18" s="7">
        <f>C2/C17</f>
        <v>1.8109090909090906</v>
      </c>
      <c r="F18" t="s">
        <v>52</v>
      </c>
    </row>
    <row r="19" spans="1:6" x14ac:dyDescent="0.35">
      <c r="A19" s="8" t="s">
        <v>53</v>
      </c>
      <c r="B19" t="s">
        <v>54</v>
      </c>
      <c r="C19" s="6">
        <f>(C2*(SUM(C5:C8)/60)*22)</f>
        <v>48827.777777777774</v>
      </c>
      <c r="D19" s="6">
        <f>(D2*(SUM(D5:D8)/60)*22)</f>
        <v>44519.444444444438</v>
      </c>
      <c r="E19" s="7" t="s">
        <v>11</v>
      </c>
      <c r="F19" t="s">
        <v>55</v>
      </c>
    </row>
    <row r="20" spans="1:6" x14ac:dyDescent="0.35">
      <c r="A20" s="8" t="s">
        <v>56</v>
      </c>
      <c r="B20" s="2" t="s">
        <v>57</v>
      </c>
      <c r="C20" s="5">
        <f>(C2*(C9+C10)/60)*6.5</f>
        <v>7637.5</v>
      </c>
      <c r="D20" s="5">
        <f>(D2*(D9+D10)/60)*6.5</f>
        <v>3818.75</v>
      </c>
      <c r="E20" s="7">
        <f>(C2*(C9+C10)/60)*6.5</f>
        <v>7637.5</v>
      </c>
      <c r="F20" t="s">
        <v>58</v>
      </c>
    </row>
    <row r="21" spans="1:6" x14ac:dyDescent="0.35">
      <c r="A21" s="8" t="s">
        <v>59</v>
      </c>
      <c r="B21" t="s">
        <v>60</v>
      </c>
      <c r="C21" s="4">
        <f>((30*0.4)*45)/1000</f>
        <v>0.54</v>
      </c>
      <c r="D21" s="4">
        <f>((30*0.4)*45)/1000</f>
        <v>0.54</v>
      </c>
      <c r="E21" s="7" t="s">
        <v>11</v>
      </c>
      <c r="F21" t="s">
        <v>61</v>
      </c>
    </row>
    <row r="22" spans="1:6" x14ac:dyDescent="0.35">
      <c r="A22" s="8" t="s">
        <v>62</v>
      </c>
      <c r="B22" s="2" t="s">
        <v>63</v>
      </c>
      <c r="C22" s="5">
        <f>(C19+C20)*2.68/1000+C21</f>
        <v>151.86694444444444</v>
      </c>
      <c r="D22" s="5">
        <f>(D19+D20)*2.68/1000+D21</f>
        <v>130.08636111111107</v>
      </c>
      <c r="E22" s="7">
        <f>(C19+C20)*2.68/1000+C21</f>
        <v>151.86694444444444</v>
      </c>
      <c r="F22" t="s">
        <v>64</v>
      </c>
    </row>
  </sheetData>
  <pageMargins left="0.75" right="0.75" top="1" bottom="1" header="0.5" footer="0.5"/>
  <headerFooter>
    <oddFooter>&amp;L_x000D_&amp;1#&amp;"Aptos"&amp;8&amp;K0078D7 Sensitivity : This Document is Classified as "LNT Internal Use".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DF5E6-29F9-413C-BE5B-43FE9A942A59}">
  <dimension ref="A1:F33"/>
  <sheetViews>
    <sheetView topLeftCell="A13" workbookViewId="0">
      <selection activeCell="C16" sqref="C16"/>
    </sheetView>
  </sheetViews>
  <sheetFormatPr defaultRowHeight="14.5" x14ac:dyDescent="0.35"/>
  <cols>
    <col min="2" max="2" width="35" customWidth="1"/>
    <col min="3" max="4" width="25" customWidth="1"/>
    <col min="5" max="5" width="29.36328125" bestFit="1" customWidth="1"/>
    <col min="6" max="6" width="50" customWidth="1"/>
  </cols>
  <sheetData>
    <row r="1" spans="1:6" x14ac:dyDescent="0.35">
      <c r="A1" s="9" t="s">
        <v>0</v>
      </c>
      <c r="B1" s="9" t="s">
        <v>65</v>
      </c>
      <c r="C1" s="9" t="s">
        <v>66</v>
      </c>
      <c r="D1" s="9" t="s">
        <v>67</v>
      </c>
      <c r="E1" s="9" t="s">
        <v>68</v>
      </c>
    </row>
    <row r="2" spans="1:6" x14ac:dyDescent="0.35">
      <c r="A2" t="s">
        <v>6</v>
      </c>
      <c r="B2" t="s">
        <v>69</v>
      </c>
      <c r="C2">
        <v>12950</v>
      </c>
      <c r="E2" t="s">
        <v>70</v>
      </c>
    </row>
    <row r="3" spans="1:6" x14ac:dyDescent="0.35">
      <c r="A3" t="s">
        <v>9</v>
      </c>
      <c r="B3" t="s">
        <v>71</v>
      </c>
      <c r="C3">
        <v>0.85</v>
      </c>
      <c r="E3" t="s">
        <v>72</v>
      </c>
    </row>
    <row r="4" spans="1:6" x14ac:dyDescent="0.35">
      <c r="A4" t="s">
        <v>13</v>
      </c>
      <c r="B4" s="10" t="s">
        <v>73</v>
      </c>
      <c r="C4" s="10">
        <f>C2*C3</f>
        <v>11007.5</v>
      </c>
      <c r="D4" s="10">
        <f>C2*C3</f>
        <v>11007.5</v>
      </c>
      <c r="E4" t="s">
        <v>74</v>
      </c>
    </row>
    <row r="5" spans="1:6" x14ac:dyDescent="0.35">
      <c r="A5" t="s">
        <v>16</v>
      </c>
      <c r="B5" t="s">
        <v>75</v>
      </c>
      <c r="C5">
        <v>3</v>
      </c>
      <c r="E5" t="s">
        <v>70</v>
      </c>
    </row>
    <row r="6" spans="1:6" x14ac:dyDescent="0.35">
      <c r="A6" t="s">
        <v>19</v>
      </c>
      <c r="B6" t="s">
        <v>76</v>
      </c>
      <c r="C6">
        <v>3.5</v>
      </c>
      <c r="E6" t="s">
        <v>77</v>
      </c>
    </row>
    <row r="7" spans="1:6" x14ac:dyDescent="0.35">
      <c r="A7" t="s">
        <v>22</v>
      </c>
      <c r="B7" t="s">
        <v>78</v>
      </c>
      <c r="C7">
        <v>2.5</v>
      </c>
      <c r="E7" t="s">
        <v>79</v>
      </c>
    </row>
    <row r="8" spans="1:6" x14ac:dyDescent="0.35">
      <c r="A8" t="s">
        <v>24</v>
      </c>
      <c r="B8" s="10" t="s">
        <v>80</v>
      </c>
      <c r="C8" s="10">
        <f>(C5*C6)+C7</f>
        <v>13</v>
      </c>
      <c r="D8" s="10">
        <f>(C5*C6)+C7</f>
        <v>13</v>
      </c>
      <c r="E8" t="s">
        <v>81</v>
      </c>
    </row>
    <row r="9" spans="1:6" x14ac:dyDescent="0.35">
      <c r="A9" t="s">
        <v>26</v>
      </c>
      <c r="B9" s="10" t="s">
        <v>82</v>
      </c>
      <c r="C9" s="11">
        <f>C4*C8</f>
        <v>143097.5</v>
      </c>
      <c r="D9" s="11">
        <f>C4*C8</f>
        <v>143097.5</v>
      </c>
      <c r="E9" t="s">
        <v>83</v>
      </c>
    </row>
    <row r="11" spans="1:6" x14ac:dyDescent="0.35">
      <c r="A11" s="12" t="s">
        <v>0</v>
      </c>
      <c r="B11" s="12" t="s">
        <v>1</v>
      </c>
      <c r="C11" s="12" t="s">
        <v>2</v>
      </c>
      <c r="D11" s="12" t="s">
        <v>3</v>
      </c>
      <c r="E11" s="12" t="s">
        <v>84</v>
      </c>
      <c r="F11" s="12" t="s">
        <v>5</v>
      </c>
    </row>
    <row r="12" spans="1:6" x14ac:dyDescent="0.35">
      <c r="A12" t="s">
        <v>33</v>
      </c>
      <c r="B12" s="10" t="s">
        <v>85</v>
      </c>
      <c r="C12" s="13">
        <f>C9</f>
        <v>143097.5</v>
      </c>
      <c r="D12" s="13">
        <f>C9</f>
        <v>143097.5</v>
      </c>
      <c r="E12" s="6">
        <f>C9</f>
        <v>143097.5</v>
      </c>
      <c r="F12" t="s">
        <v>86</v>
      </c>
    </row>
    <row r="13" spans="1:6" x14ac:dyDescent="0.35">
      <c r="A13" t="s">
        <v>35</v>
      </c>
      <c r="B13" t="s">
        <v>87</v>
      </c>
      <c r="C13" s="14">
        <v>0.35</v>
      </c>
      <c r="D13" s="14">
        <v>0.35</v>
      </c>
      <c r="E13" s="6"/>
      <c r="F13" t="s">
        <v>88</v>
      </c>
    </row>
    <row r="14" spans="1:6" x14ac:dyDescent="0.35">
      <c r="A14" t="s">
        <v>38</v>
      </c>
      <c r="B14" t="s">
        <v>89</v>
      </c>
      <c r="C14" s="15">
        <v>0.65</v>
      </c>
      <c r="D14" s="15">
        <v>0.65</v>
      </c>
      <c r="E14" s="6"/>
      <c r="F14" t="s">
        <v>90</v>
      </c>
    </row>
    <row r="15" spans="1:6" x14ac:dyDescent="0.35">
      <c r="A15" t="s">
        <v>41</v>
      </c>
      <c r="B15" s="10" t="s">
        <v>91</v>
      </c>
      <c r="C15" s="13">
        <f>C12*C13</f>
        <v>50084.125</v>
      </c>
      <c r="D15" s="13">
        <f>D12*D13</f>
        <v>50084.125</v>
      </c>
      <c r="E15" s="6">
        <f>C12*C13</f>
        <v>50084.125</v>
      </c>
      <c r="F15" t="s">
        <v>92</v>
      </c>
    </row>
    <row r="16" spans="1:6" x14ac:dyDescent="0.35">
      <c r="A16" t="s">
        <v>44</v>
      </c>
      <c r="B16" s="10" t="s">
        <v>93</v>
      </c>
      <c r="C16" s="13">
        <f>C12*C14</f>
        <v>93013.375</v>
      </c>
      <c r="D16" s="13">
        <f>D12*D14</f>
        <v>93013.375</v>
      </c>
      <c r="E16" s="6">
        <f>C12*C14</f>
        <v>93013.375</v>
      </c>
      <c r="F16" t="s">
        <v>94</v>
      </c>
    </row>
    <row r="17" spans="1:6" x14ac:dyDescent="0.35">
      <c r="A17" t="s">
        <v>47</v>
      </c>
      <c r="B17" t="s">
        <v>95</v>
      </c>
      <c r="C17" s="15">
        <v>10</v>
      </c>
      <c r="D17" s="15">
        <v>10</v>
      </c>
      <c r="E17" s="6"/>
      <c r="F17" t="s">
        <v>96</v>
      </c>
    </row>
    <row r="18" spans="1:6" x14ac:dyDescent="0.35">
      <c r="A18" t="s">
        <v>50</v>
      </c>
      <c r="B18" s="10" t="s">
        <v>97</v>
      </c>
      <c r="C18" s="13">
        <f>C12/C17</f>
        <v>14309.75</v>
      </c>
      <c r="D18" s="13">
        <f>D12/D17</f>
        <v>14309.75</v>
      </c>
      <c r="E18" s="6">
        <f>C12/C17</f>
        <v>14309.75</v>
      </c>
      <c r="F18" t="s">
        <v>98</v>
      </c>
    </row>
    <row r="19" spans="1:6" x14ac:dyDescent="0.35">
      <c r="A19" t="s">
        <v>53</v>
      </c>
      <c r="B19" t="s">
        <v>10</v>
      </c>
      <c r="C19" s="15">
        <v>540</v>
      </c>
      <c r="D19" s="15">
        <v>540</v>
      </c>
      <c r="E19" s="6"/>
      <c r="F19" t="s">
        <v>12</v>
      </c>
    </row>
    <row r="20" spans="1:6" x14ac:dyDescent="0.35">
      <c r="A20" t="s">
        <v>56</v>
      </c>
      <c r="B20" t="s">
        <v>99</v>
      </c>
      <c r="C20" s="15">
        <v>2</v>
      </c>
      <c r="D20" s="15">
        <v>2</v>
      </c>
      <c r="E20" s="6"/>
      <c r="F20" t="s">
        <v>100</v>
      </c>
    </row>
    <row r="21" spans="1:6" x14ac:dyDescent="0.35">
      <c r="A21" t="s">
        <v>59</v>
      </c>
      <c r="B21" t="s">
        <v>101</v>
      </c>
      <c r="C21" s="15">
        <v>8</v>
      </c>
      <c r="D21" s="15">
        <v>1</v>
      </c>
      <c r="E21" s="6"/>
      <c r="F21" t="s">
        <v>102</v>
      </c>
    </row>
    <row r="22" spans="1:6" x14ac:dyDescent="0.35">
      <c r="A22" t="s">
        <v>62</v>
      </c>
      <c r="B22" t="s">
        <v>103</v>
      </c>
      <c r="C22" s="15">
        <v>6</v>
      </c>
      <c r="D22" s="15">
        <v>6</v>
      </c>
      <c r="E22" s="6"/>
      <c r="F22" t="s">
        <v>21</v>
      </c>
    </row>
    <row r="23" spans="1:6" x14ac:dyDescent="0.35">
      <c r="A23" t="s">
        <v>104</v>
      </c>
      <c r="B23" t="s">
        <v>105</v>
      </c>
      <c r="C23" s="15">
        <v>10</v>
      </c>
      <c r="D23" s="15">
        <v>1</v>
      </c>
      <c r="E23" s="6"/>
      <c r="F23" t="s">
        <v>102</v>
      </c>
    </row>
    <row r="24" spans="1:6" x14ac:dyDescent="0.35">
      <c r="A24" t="s">
        <v>106</v>
      </c>
      <c r="B24" t="s">
        <v>107</v>
      </c>
      <c r="C24" s="15">
        <v>13.24</v>
      </c>
      <c r="D24" s="15">
        <f>C24*0.2</f>
        <v>2.6480000000000001</v>
      </c>
      <c r="E24" s="6"/>
      <c r="F24" t="s">
        <v>108</v>
      </c>
    </row>
    <row r="25" spans="1:6" x14ac:dyDescent="0.35">
      <c r="A25" t="s">
        <v>109</v>
      </c>
      <c r="B25" s="10" t="s">
        <v>110</v>
      </c>
      <c r="C25" s="13">
        <f>SUM(C21:C24)</f>
        <v>37.24</v>
      </c>
      <c r="D25" s="13">
        <f>SUM(D21:D24)</f>
        <v>10.648</v>
      </c>
      <c r="E25" s="6">
        <f>SUM(C21:C24)</f>
        <v>37.24</v>
      </c>
      <c r="F25" t="s">
        <v>111</v>
      </c>
    </row>
    <row r="26" spans="1:6" x14ac:dyDescent="0.35">
      <c r="A26" t="s">
        <v>112</v>
      </c>
      <c r="B26" s="10" t="s">
        <v>113</v>
      </c>
      <c r="C26" s="13">
        <f>C19/C25</f>
        <v>14.500537056928033</v>
      </c>
      <c r="D26" s="13">
        <f>D19/D25</f>
        <v>50.7137490608565</v>
      </c>
      <c r="E26" s="6">
        <f>C19/C25</f>
        <v>14.500537056928033</v>
      </c>
      <c r="F26" t="s">
        <v>114</v>
      </c>
    </row>
    <row r="27" spans="1:6" x14ac:dyDescent="0.35">
      <c r="A27" t="s">
        <v>115</v>
      </c>
      <c r="B27" s="10" t="s">
        <v>116</v>
      </c>
      <c r="C27" s="13">
        <f>C26*C20</f>
        <v>29.001074113856067</v>
      </c>
      <c r="D27" s="13">
        <f>D26*D20</f>
        <v>101.427498121713</v>
      </c>
      <c r="E27" s="6">
        <f>C26*C20</f>
        <v>29.001074113856067</v>
      </c>
      <c r="F27" t="s">
        <v>117</v>
      </c>
    </row>
    <row r="28" spans="1:6" x14ac:dyDescent="0.35">
      <c r="A28" t="s">
        <v>118</v>
      </c>
      <c r="B28" s="10" t="s">
        <v>119</v>
      </c>
      <c r="C28" s="13">
        <f>C18/C27</f>
        <v>493.42137962962966</v>
      </c>
      <c r="D28" s="13">
        <f>D18/D27</f>
        <v>141.08353518518518</v>
      </c>
      <c r="E28" s="6">
        <f>C18/C27</f>
        <v>493.42137962962966</v>
      </c>
      <c r="F28" t="s">
        <v>120</v>
      </c>
    </row>
    <row r="29" spans="1:6" x14ac:dyDescent="0.35">
      <c r="A29" t="s">
        <v>121</v>
      </c>
      <c r="B29" s="10" t="s">
        <v>122</v>
      </c>
      <c r="C29" s="13">
        <f>(C15*0.15)+(C16*0.4)</f>
        <v>44717.96875</v>
      </c>
      <c r="D29" s="13">
        <f>(D15*0.15)+(D16*0.4)</f>
        <v>44717.96875</v>
      </c>
      <c r="E29" s="6">
        <f>(C15*0.15)+(C16*0.4)</f>
        <v>44717.96875</v>
      </c>
      <c r="F29" t="s">
        <v>123</v>
      </c>
    </row>
    <row r="30" spans="1:6" x14ac:dyDescent="0.35">
      <c r="A30" t="s">
        <v>124</v>
      </c>
      <c r="B30" s="10" t="s">
        <v>125</v>
      </c>
      <c r="C30" s="13">
        <f>C18*15/3</f>
        <v>71548.75</v>
      </c>
      <c r="D30" s="13">
        <f>D18*15/3</f>
        <v>71548.75</v>
      </c>
      <c r="E30" s="6">
        <f>C18*8.125</f>
        <v>116266.71875</v>
      </c>
      <c r="F30" t="s">
        <v>126</v>
      </c>
    </row>
    <row r="31" spans="1:6" x14ac:dyDescent="0.35">
      <c r="A31" t="s">
        <v>127</v>
      </c>
      <c r="B31" s="10" t="s">
        <v>128</v>
      </c>
      <c r="C31" s="13">
        <f>(C18*C24/60)*4.5</f>
        <v>14209.581749999999</v>
      </c>
      <c r="D31" s="13">
        <f>(D18*D24/60)*4.5</f>
        <v>2841.91635</v>
      </c>
      <c r="E31" s="6">
        <f>(C18*C24/60)*4.5</f>
        <v>14209.581749999999</v>
      </c>
      <c r="F31" t="s">
        <v>129</v>
      </c>
    </row>
    <row r="32" spans="1:6" x14ac:dyDescent="0.35">
      <c r="A32" t="s">
        <v>130</v>
      </c>
      <c r="B32" s="10" t="s">
        <v>131</v>
      </c>
      <c r="C32" s="13">
        <f>C28*15*0.82/1000</f>
        <v>6.0690829694444446</v>
      </c>
      <c r="D32" s="13">
        <f>D28*15*0.82/1000</f>
        <v>1.7353274827777778</v>
      </c>
      <c r="E32" s="6">
        <f>C28*135*0.82/1000</f>
        <v>54.621746725000001</v>
      </c>
      <c r="F32" t="s">
        <v>132</v>
      </c>
    </row>
    <row r="33" spans="1:6" x14ac:dyDescent="0.35">
      <c r="A33" t="s">
        <v>133</v>
      </c>
      <c r="B33" s="10" t="s">
        <v>63</v>
      </c>
      <c r="C33" s="13">
        <f>(C29+C30+C31)*2.68/1000+C32</f>
        <v>355.74556830944442</v>
      </c>
      <c r="D33" s="13">
        <f>(D29+D30+D31)*2.68/1000+D32</f>
        <v>320.94646955077786</v>
      </c>
      <c r="E33" s="6">
        <f>(C29+C30+C31)*2.68/1000+C32</f>
        <v>355.74556830944442</v>
      </c>
      <c r="F33" t="s">
        <v>134</v>
      </c>
    </row>
  </sheetData>
  <pageMargins left="0.75" right="0.75" top="1" bottom="1" header="0.5" footer="0.5"/>
  <headerFooter>
    <oddFooter>&amp;L_x000D_&amp;1#&amp;"Aptos"&amp;8&amp;K0078D7 Sensitivity : This Document is Classified as "LNT Internal Use".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99BEB-932D-4D61-A6ED-F6F0CDFF8A19}">
  <dimension ref="A1:C36"/>
  <sheetViews>
    <sheetView workbookViewId="0">
      <selection activeCell="D17" sqref="D17"/>
    </sheetView>
  </sheetViews>
  <sheetFormatPr defaultRowHeight="14.5" x14ac:dyDescent="0.35"/>
  <cols>
    <col min="1" max="1" width="35" style="18" customWidth="1"/>
    <col min="2" max="2" width="25" style="38" customWidth="1"/>
    <col min="3" max="3" width="25" style="18" customWidth="1"/>
    <col min="4" max="16384" width="8.7265625" style="18"/>
  </cols>
  <sheetData>
    <row r="1" spans="1:3" x14ac:dyDescent="0.35">
      <c r="A1" s="16" t="s">
        <v>135</v>
      </c>
      <c r="B1" s="46">
        <f>29.34*10^5</f>
        <v>2934000</v>
      </c>
      <c r="C1" s="47"/>
    </row>
    <row r="2" spans="1:3" x14ac:dyDescent="0.35">
      <c r="A2" s="16" t="s">
        <v>136</v>
      </c>
      <c r="B2" s="46">
        <f>B1*0.07</f>
        <v>205380.00000000003</v>
      </c>
      <c r="C2" s="47"/>
    </row>
    <row r="3" spans="1:3" x14ac:dyDescent="0.35">
      <c r="A3" s="16" t="s">
        <v>137</v>
      </c>
      <c r="B3" s="46">
        <f>(B1*9.4)/1000</f>
        <v>27579.599999999999</v>
      </c>
      <c r="C3" s="47"/>
    </row>
    <row r="4" spans="1:3" x14ac:dyDescent="0.35">
      <c r="A4" s="16" t="s">
        <v>138</v>
      </c>
      <c r="B4" s="46">
        <f>(B1*3.73)/10.764</f>
        <v>1016705.6856187292</v>
      </c>
      <c r="C4" s="47"/>
    </row>
    <row r="5" spans="1:3" x14ac:dyDescent="0.35">
      <c r="A5" s="16" t="s">
        <v>139</v>
      </c>
      <c r="B5" s="46">
        <v>3</v>
      </c>
      <c r="C5" s="47"/>
    </row>
    <row r="6" spans="1:3" x14ac:dyDescent="0.35">
      <c r="A6" s="16" t="s">
        <v>140</v>
      </c>
      <c r="B6" s="46">
        <v>72</v>
      </c>
      <c r="C6" s="47"/>
    </row>
    <row r="7" spans="1:3" x14ac:dyDescent="0.35">
      <c r="A7" s="16" t="s">
        <v>141</v>
      </c>
      <c r="B7" s="46">
        <f>B2/6</f>
        <v>34230.000000000007</v>
      </c>
      <c r="C7" s="47"/>
    </row>
    <row r="9" spans="1:3" x14ac:dyDescent="0.35">
      <c r="A9" s="19" t="s">
        <v>142</v>
      </c>
      <c r="B9" s="20" t="s">
        <v>2</v>
      </c>
      <c r="C9" s="19" t="s">
        <v>3</v>
      </c>
    </row>
    <row r="10" spans="1:3" x14ac:dyDescent="0.35">
      <c r="A10" s="16" t="s">
        <v>143</v>
      </c>
      <c r="B10" s="21">
        <v>10</v>
      </c>
      <c r="C10" s="17">
        <v>2.5</v>
      </c>
    </row>
    <row r="11" spans="1:3" x14ac:dyDescent="0.35">
      <c r="A11" s="16" t="s">
        <v>144</v>
      </c>
      <c r="B11" s="21">
        <v>10</v>
      </c>
      <c r="C11" s="17">
        <v>2.5</v>
      </c>
    </row>
    <row r="12" spans="1:3" x14ac:dyDescent="0.35">
      <c r="A12" s="16" t="s">
        <v>145</v>
      </c>
      <c r="B12" s="21">
        <v>25</v>
      </c>
      <c r="C12" s="17">
        <v>25</v>
      </c>
    </row>
    <row r="13" spans="1:3" x14ac:dyDescent="0.35">
      <c r="A13" s="16" t="s">
        <v>146</v>
      </c>
      <c r="B13" s="21">
        <v>10</v>
      </c>
      <c r="C13" s="17">
        <v>10</v>
      </c>
    </row>
    <row r="14" spans="1:3" x14ac:dyDescent="0.35">
      <c r="A14" s="22" t="s">
        <v>147</v>
      </c>
      <c r="B14" s="23">
        <f>SUM(B10:B13)</f>
        <v>55</v>
      </c>
      <c r="C14" s="24">
        <f>SUM(C10:C13)</f>
        <v>40</v>
      </c>
    </row>
    <row r="15" spans="1:3" x14ac:dyDescent="0.35">
      <c r="A15" s="25" t="s">
        <v>148</v>
      </c>
      <c r="B15" s="26">
        <v>2.5</v>
      </c>
      <c r="C15" s="26">
        <v>2.5</v>
      </c>
    </row>
    <row r="16" spans="1:3" ht="29" x14ac:dyDescent="0.35">
      <c r="A16" s="25" t="s">
        <v>149</v>
      </c>
      <c r="B16" s="27">
        <v>5</v>
      </c>
      <c r="C16" s="27">
        <v>5</v>
      </c>
    </row>
    <row r="17" spans="1:3" ht="29" x14ac:dyDescent="0.35">
      <c r="A17" s="25" t="s">
        <v>150</v>
      </c>
      <c r="B17" s="26">
        <v>15</v>
      </c>
      <c r="C17" s="26">
        <v>15</v>
      </c>
    </row>
    <row r="18" spans="1:3" ht="29" x14ac:dyDescent="0.35">
      <c r="A18" s="25" t="s">
        <v>151</v>
      </c>
      <c r="B18" s="28">
        <f>(B14/60)*B15*$B$7</f>
        <v>78443.750000000015</v>
      </c>
      <c r="C18" s="28">
        <f>(C14/60)*C15*$B$7</f>
        <v>57050.000000000007</v>
      </c>
    </row>
    <row r="19" spans="1:3" ht="29" x14ac:dyDescent="0.35">
      <c r="A19" s="25" t="s">
        <v>152</v>
      </c>
      <c r="B19" s="28">
        <f>B16*$B$7</f>
        <v>171150.00000000003</v>
      </c>
      <c r="C19" s="28">
        <f>C16*$B$7</f>
        <v>171150.00000000003</v>
      </c>
    </row>
    <row r="20" spans="1:3" x14ac:dyDescent="0.35">
      <c r="A20" s="25" t="s">
        <v>153</v>
      </c>
      <c r="B20" s="23">
        <f>B18+B19</f>
        <v>249593.75000000006</v>
      </c>
      <c r="C20" s="23">
        <f>C18+C19</f>
        <v>228200.00000000003</v>
      </c>
    </row>
    <row r="21" spans="1:3" x14ac:dyDescent="0.35">
      <c r="A21" s="25" t="s">
        <v>154</v>
      </c>
      <c r="B21" s="29">
        <f>(B20*2.68)/1000</f>
        <v>668.91125000000022</v>
      </c>
      <c r="C21" s="29">
        <f>(C20*2.68)/1000</f>
        <v>611.57600000000014</v>
      </c>
    </row>
    <row r="22" spans="1:3" x14ac:dyDescent="0.35">
      <c r="A22" s="25"/>
      <c r="B22" s="23"/>
      <c r="C22" s="24"/>
    </row>
    <row r="23" spans="1:3" x14ac:dyDescent="0.35">
      <c r="A23" s="30" t="s">
        <v>155</v>
      </c>
      <c r="B23" s="23">
        <f>22*B6</f>
        <v>1584</v>
      </c>
      <c r="C23" s="24">
        <f>15*B6</f>
        <v>1080</v>
      </c>
    </row>
    <row r="24" spans="1:3" x14ac:dyDescent="0.35">
      <c r="A24" s="25" t="s">
        <v>156</v>
      </c>
      <c r="B24" s="31">
        <v>9</v>
      </c>
      <c r="C24" s="31">
        <v>9</v>
      </c>
    </row>
    <row r="25" spans="1:3" x14ac:dyDescent="0.35">
      <c r="A25" s="25" t="s">
        <v>157</v>
      </c>
      <c r="B25" s="31">
        <v>45</v>
      </c>
      <c r="C25" s="31">
        <v>45</v>
      </c>
    </row>
    <row r="26" spans="1:3" x14ac:dyDescent="0.35">
      <c r="A26" s="25" t="s">
        <v>158</v>
      </c>
      <c r="B26" s="32">
        <v>0.4</v>
      </c>
      <c r="C26" s="32">
        <v>0.4</v>
      </c>
    </row>
    <row r="27" spans="1:3" x14ac:dyDescent="0.35">
      <c r="A27" s="25" t="s">
        <v>159</v>
      </c>
      <c r="B27" s="32">
        <v>0.1</v>
      </c>
      <c r="C27" s="32">
        <v>0.1</v>
      </c>
    </row>
    <row r="28" spans="1:3" x14ac:dyDescent="0.35">
      <c r="A28" s="25" t="s">
        <v>160</v>
      </c>
      <c r="B28" s="33">
        <f>55/45+20%</f>
        <v>1.4222222222222223</v>
      </c>
      <c r="C28" s="33">
        <f>55/45+20%</f>
        <v>1.4222222222222223</v>
      </c>
    </row>
    <row r="29" spans="1:3" x14ac:dyDescent="0.35">
      <c r="A29" s="25" t="s">
        <v>161</v>
      </c>
      <c r="B29" s="31">
        <f>4/2+(4/2)*75%</f>
        <v>3.5</v>
      </c>
      <c r="C29" s="31">
        <f>4/2+(4/2)*75%</f>
        <v>3.5</v>
      </c>
    </row>
    <row r="30" spans="1:3" x14ac:dyDescent="0.35">
      <c r="A30" s="25" t="s">
        <v>162</v>
      </c>
      <c r="B30" s="34">
        <f>B23*B24*B25*B26</f>
        <v>256608</v>
      </c>
      <c r="C30" s="34">
        <f>C23*C24*C25*C26</f>
        <v>174960</v>
      </c>
    </row>
    <row r="31" spans="1:3" x14ac:dyDescent="0.35">
      <c r="A31" s="25" t="s">
        <v>163</v>
      </c>
      <c r="B31" s="34">
        <f>B23*B24*B25*B27</f>
        <v>64152</v>
      </c>
      <c r="C31" s="34">
        <f>C23*C24*C25*C27</f>
        <v>43740</v>
      </c>
    </row>
    <row r="32" spans="1:3" x14ac:dyDescent="0.35">
      <c r="A32" s="25" t="s">
        <v>164</v>
      </c>
      <c r="B32" s="34">
        <f>B29*B3</f>
        <v>96528.599999999991</v>
      </c>
      <c r="C32" s="34">
        <f>C29*C3</f>
        <v>0</v>
      </c>
    </row>
    <row r="33" spans="1:3" x14ac:dyDescent="0.35">
      <c r="A33" s="25" t="s">
        <v>165</v>
      </c>
      <c r="B33" s="34">
        <f>B28*B2</f>
        <v>292096.00000000006</v>
      </c>
      <c r="C33" s="34">
        <f>C28*C2</f>
        <v>0</v>
      </c>
    </row>
    <row r="34" spans="1:3" x14ac:dyDescent="0.35">
      <c r="A34" s="35" t="s">
        <v>166</v>
      </c>
      <c r="B34" s="34">
        <f>SUM(B30:B33)</f>
        <v>709384.60000000009</v>
      </c>
      <c r="C34" s="34">
        <f>SUM(C30:C33)</f>
        <v>218700</v>
      </c>
    </row>
    <row r="35" spans="1:3" x14ac:dyDescent="0.35">
      <c r="A35" s="25" t="s">
        <v>167</v>
      </c>
      <c r="B35" s="36">
        <f>B34*0.82/1000</f>
        <v>581.69537200000013</v>
      </c>
      <c r="C35" s="36">
        <f>C34*0.82/1000</f>
        <v>179.334</v>
      </c>
    </row>
    <row r="36" spans="1:3" x14ac:dyDescent="0.35">
      <c r="A36" s="37" t="s">
        <v>168</v>
      </c>
      <c r="B36" s="34">
        <f>B35+B21</f>
        <v>1250.6066220000002</v>
      </c>
      <c r="C36" s="34">
        <f>C35+C21</f>
        <v>790.91000000000008</v>
      </c>
    </row>
  </sheetData>
  <mergeCells count="7">
    <mergeCell ref="B7:C7"/>
    <mergeCell ref="B1:C1"/>
    <mergeCell ref="B2:C2"/>
    <mergeCell ref="B3:C3"/>
    <mergeCell ref="B4:C4"/>
    <mergeCell ref="B5:C5"/>
    <mergeCell ref="B6:C6"/>
  </mergeCells>
  <pageMargins left="0.75" right="0.75" top="1" bottom="1" header="0.5" footer="0.5"/>
  <headerFooter>
    <oddFooter>&amp;L_x000D_&amp;1#&amp;"Aptos"&amp;8&amp;K0078D7 Sensitivity : This Document is Classified as "LNT Internal Use".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9937D-CD08-462B-8299-E79E94C0C99A}">
  <dimension ref="A1:C23"/>
  <sheetViews>
    <sheetView workbookViewId="0">
      <selection activeCell="B23" sqref="B23"/>
    </sheetView>
  </sheetViews>
  <sheetFormatPr defaultRowHeight="14.5" x14ac:dyDescent="0.35"/>
  <cols>
    <col min="1" max="1" width="38" customWidth="1"/>
    <col min="2" max="3" width="25" customWidth="1"/>
  </cols>
  <sheetData>
    <row r="1" spans="1:3" x14ac:dyDescent="0.35">
      <c r="A1" s="39" t="s">
        <v>135</v>
      </c>
      <c r="B1" s="48">
        <v>272577</v>
      </c>
      <c r="C1" s="49"/>
    </row>
    <row r="2" spans="1:3" x14ac:dyDescent="0.35">
      <c r="A2" s="39" t="s">
        <v>169</v>
      </c>
      <c r="B2" s="48">
        <f>B1*3.5</f>
        <v>954019.5</v>
      </c>
      <c r="C2" s="49"/>
    </row>
    <row r="3" spans="1:3" x14ac:dyDescent="0.35">
      <c r="A3" s="39" t="s">
        <v>170</v>
      </c>
      <c r="B3" s="48">
        <f>B1*0.9</f>
        <v>245319.30000000002</v>
      </c>
      <c r="C3" s="49"/>
    </row>
    <row r="4" spans="1:3" x14ac:dyDescent="0.35">
      <c r="A4" s="39" t="s">
        <v>171</v>
      </c>
      <c r="B4" s="48">
        <f>B1*0.9</f>
        <v>245319.30000000002</v>
      </c>
      <c r="C4" s="49"/>
    </row>
    <row r="5" spans="1:3" x14ac:dyDescent="0.35">
      <c r="A5" s="39" t="s">
        <v>139</v>
      </c>
      <c r="B5" s="48">
        <v>3</v>
      </c>
      <c r="C5" s="49"/>
    </row>
    <row r="6" spans="1:3" x14ac:dyDescent="0.35">
      <c r="A6" s="39" t="s">
        <v>140</v>
      </c>
      <c r="B6" s="48">
        <v>72</v>
      </c>
      <c r="C6" s="49"/>
    </row>
    <row r="7" spans="1:3" x14ac:dyDescent="0.35">
      <c r="A7" s="39" t="s">
        <v>172</v>
      </c>
      <c r="B7" s="48">
        <f>B5*B6*5*3.2</f>
        <v>3456</v>
      </c>
      <c r="C7" s="49"/>
    </row>
    <row r="9" spans="1:3" x14ac:dyDescent="0.35">
      <c r="A9" s="41" t="s">
        <v>142</v>
      </c>
      <c r="B9" s="41" t="s">
        <v>2</v>
      </c>
      <c r="C9" s="41" t="s">
        <v>3</v>
      </c>
    </row>
    <row r="10" spans="1:3" x14ac:dyDescent="0.35">
      <c r="A10" s="39" t="s">
        <v>173</v>
      </c>
      <c r="B10" s="42">
        <v>0.125</v>
      </c>
      <c r="C10" s="42">
        <v>0.06</v>
      </c>
    </row>
    <row r="11" spans="1:3" x14ac:dyDescent="0.35">
      <c r="A11" s="39" t="s">
        <v>174</v>
      </c>
      <c r="B11" s="42">
        <v>0.08</v>
      </c>
      <c r="C11" s="42">
        <v>0.04</v>
      </c>
    </row>
    <row r="12" spans="1:3" x14ac:dyDescent="0.35">
      <c r="A12" s="39" t="s">
        <v>175</v>
      </c>
      <c r="B12" s="42">
        <v>0.1</v>
      </c>
      <c r="C12" s="42">
        <v>0.04</v>
      </c>
    </row>
    <row r="13" spans="1:3" x14ac:dyDescent="0.35">
      <c r="A13" s="39" t="s">
        <v>176</v>
      </c>
      <c r="B13" s="42">
        <v>8.5000000000000006E-2</v>
      </c>
      <c r="C13" s="42">
        <v>0.04</v>
      </c>
    </row>
    <row r="14" spans="1:3" x14ac:dyDescent="0.35">
      <c r="A14" s="39" t="s">
        <v>177</v>
      </c>
      <c r="B14" s="40">
        <v>600</v>
      </c>
      <c r="C14" s="40">
        <v>420</v>
      </c>
    </row>
    <row r="15" spans="1:3" x14ac:dyDescent="0.35">
      <c r="A15" s="39" t="s">
        <v>178</v>
      </c>
      <c r="B15" s="40">
        <f>(45*9)</f>
        <v>405</v>
      </c>
      <c r="C15" s="43">
        <f>B15*65%</f>
        <v>263.25</v>
      </c>
    </row>
    <row r="16" spans="1:3" x14ac:dyDescent="0.35">
      <c r="A16" s="39" t="s">
        <v>179</v>
      </c>
      <c r="B16" s="43">
        <f>B14*B15</f>
        <v>243000</v>
      </c>
      <c r="C16" s="43">
        <f>C14*C15</f>
        <v>110565</v>
      </c>
    </row>
    <row r="17" spans="1:3" x14ac:dyDescent="0.35">
      <c r="A17" s="39" t="s">
        <v>180</v>
      </c>
      <c r="B17" s="43">
        <f>$B$2*B10*0.015</f>
        <v>1788.7865624999999</v>
      </c>
      <c r="C17" s="43">
        <f>$B$2*C10*0.015</f>
        <v>858.61754999999994</v>
      </c>
    </row>
    <row r="18" spans="1:3" x14ac:dyDescent="0.35">
      <c r="A18" s="39" t="s">
        <v>181</v>
      </c>
      <c r="B18" s="43">
        <f>$B$3*B11*0.02</f>
        <v>392.51088000000004</v>
      </c>
      <c r="C18" s="43">
        <f>$B$3*C11*0.02</f>
        <v>196.25544000000002</v>
      </c>
    </row>
    <row r="19" spans="1:3" x14ac:dyDescent="0.35">
      <c r="A19" s="39" t="s">
        <v>182</v>
      </c>
      <c r="B19" s="43">
        <f>$B$4*B12*0.03</f>
        <v>735.95790000000011</v>
      </c>
      <c r="C19" s="43">
        <f>$B$4*C12*0.03</f>
        <v>294.38316000000003</v>
      </c>
    </row>
    <row r="20" spans="1:3" x14ac:dyDescent="0.35">
      <c r="A20" s="39" t="s">
        <v>183</v>
      </c>
      <c r="B20" s="43">
        <f>$B$7*B13*0.04</f>
        <v>11.750400000000003</v>
      </c>
      <c r="C20" s="43">
        <f>$B$7*C13*0.04</f>
        <v>5.5296000000000003</v>
      </c>
    </row>
    <row r="21" spans="1:3" x14ac:dyDescent="0.35">
      <c r="A21" s="39" t="s">
        <v>184</v>
      </c>
      <c r="B21" s="43">
        <f>B16*0.82/1000</f>
        <v>199.26</v>
      </c>
      <c r="C21" s="43">
        <f>C16*0.82/1000</f>
        <v>90.663299999999992</v>
      </c>
    </row>
    <row r="22" spans="1:3" x14ac:dyDescent="0.35">
      <c r="A22" s="39" t="s">
        <v>185</v>
      </c>
      <c r="B22" s="43">
        <f>SUM(B17:B20)</f>
        <v>2929.0057425000005</v>
      </c>
      <c r="C22" s="43">
        <f>SUM(C17:C20)</f>
        <v>1354.78575</v>
      </c>
    </row>
    <row r="23" spans="1:3" x14ac:dyDescent="0.35">
      <c r="A23" s="44" t="s">
        <v>186</v>
      </c>
      <c r="B23" s="45">
        <f>B21+B22</f>
        <v>3128.2657425000007</v>
      </c>
      <c r="C23" s="45">
        <f>C21+C22</f>
        <v>1445.4490499999999</v>
      </c>
    </row>
  </sheetData>
  <mergeCells count="7">
    <mergeCell ref="B7:C7"/>
    <mergeCell ref="B1:C1"/>
    <mergeCell ref="B2:C2"/>
    <mergeCell ref="B3:C3"/>
    <mergeCell ref="B4:C4"/>
    <mergeCell ref="B5:C5"/>
    <mergeCell ref="B6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Piling</vt:lpstr>
      <vt:lpstr>Excavation</vt:lpstr>
      <vt:lpstr>RCC</vt:lpstr>
      <vt:lpstr>Finishes &amp; MEP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Kuhikar</cp:lastModifiedBy>
  <dcterms:created xsi:type="dcterms:W3CDTF">2026-06-03T06:50:47Z</dcterms:created>
  <dcterms:modified xsi:type="dcterms:W3CDTF">2026-06-05T05:15:27Z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f5f675-e19c-42bc-ba7f-4b550c3e2792_Enabled">
    <vt:lpwstr>true</vt:lpwstr>
  </property>
  <property fmtid="{D5CDD505-2E9C-101B-9397-08002B2CF9AE}" pid="3" name="MSIP_Label_d8f5f675-e19c-42bc-ba7f-4b550c3e2792_SetDate">
    <vt:lpwstr>2026-06-03T06:58:39Z</vt:lpwstr>
  </property>
  <property fmtid="{D5CDD505-2E9C-101B-9397-08002B2CF9AE}" pid="4" name="MSIP_Label_d8f5f675-e19c-42bc-ba7f-4b550c3e2792_Method">
    <vt:lpwstr>Standard</vt:lpwstr>
  </property>
  <property fmtid="{D5CDD505-2E9C-101B-9397-08002B2CF9AE}" pid="5" name="MSIP_Label_d8f5f675-e19c-42bc-ba7f-4b550c3e2792_Name">
    <vt:lpwstr>d8f5f675-e19c-42bc-ba7f-4b550c3e2792</vt:lpwstr>
  </property>
  <property fmtid="{D5CDD505-2E9C-101B-9397-08002B2CF9AE}" pid="6" name="MSIP_Label_d8f5f675-e19c-42bc-ba7f-4b550c3e2792_SiteId">
    <vt:lpwstr>4852d0fc-f87a-462b-ad09-773f986ccc04</vt:lpwstr>
  </property>
  <property fmtid="{D5CDD505-2E9C-101B-9397-08002B2CF9AE}" pid="7" name="MSIP_Label_d8f5f675-e19c-42bc-ba7f-4b550c3e2792_ActionId">
    <vt:lpwstr>01bdae61-8d0b-4739-99b3-92b1986023f0</vt:lpwstr>
  </property>
  <property fmtid="{D5CDD505-2E9C-101B-9397-08002B2CF9AE}" pid="8" name="MSIP_Label_d8f5f675-e19c-42bc-ba7f-4b550c3e2792_ContentBits">
    <vt:lpwstr>2</vt:lpwstr>
  </property>
  <property fmtid="{D5CDD505-2E9C-101B-9397-08002B2CF9AE}" pid="9" name="MSIP_Label_d8f5f675-e19c-42bc-ba7f-4b550c3e2792_Tag">
    <vt:lpwstr>10, 3, 0, 1</vt:lpwstr>
  </property>
</Properties>
</file>